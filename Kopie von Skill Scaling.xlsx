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alings" sheetId="1" r:id="rId4"/>
    <sheet state="visible" name="AD" sheetId="2" r:id="rId5"/>
  </sheets>
  <definedNames/>
  <calcPr/>
</workbook>
</file>

<file path=xl/sharedStrings.xml><?xml version="1.0" encoding="utf-8"?>
<sst xmlns="http://schemas.openxmlformats.org/spreadsheetml/2006/main" count="572" uniqueCount="383">
  <si>
    <t>Tree</t>
  </si>
  <si>
    <t>Name</t>
  </si>
  <si>
    <t>Scaling</t>
  </si>
  <si>
    <t>Dmg @1k CP</t>
  </si>
  <si>
    <t>Capturing:</t>
  </si>
  <si>
    <t>Dmg</t>
  </si>
  <si>
    <t>Combat Power</t>
  </si>
  <si>
    <t>World Dom</t>
  </si>
  <si>
    <t>Dmg Signets</t>
  </si>
  <si>
    <t>CD</t>
  </si>
  <si>
    <t>Implemented</t>
  </si>
  <si>
    <t>Note</t>
  </si>
  <si>
    <t>Pistol</t>
  </si>
  <si>
    <t>Active</t>
  </si>
  <si>
    <t>Hair Trigger</t>
  </si>
  <si>
    <t>X</t>
  </si>
  <si>
    <t>4 hits, focus</t>
  </si>
  <si>
    <t>The Business</t>
  </si>
  <si>
    <t>3 hits</t>
  </si>
  <si>
    <t>Big 45 @1</t>
  </si>
  <si>
    <t>X, missing passive</t>
  </si>
  <si>
    <t>Big 45 @5</t>
  </si>
  <si>
    <t>Shootout @1</t>
  </si>
  <si>
    <t>5 hits, focus, 2.5s</t>
  </si>
  <si>
    <t>Shootout @5</t>
  </si>
  <si>
    <t>Dirty Tricks</t>
  </si>
  <si>
    <t>AD, hindered</t>
  </si>
  <si>
    <t>Collaboration</t>
  </si>
  <si>
    <t>Bond, Strong Bond @1</t>
  </si>
  <si>
    <t>10 hits, 3s</t>
  </si>
  <si>
    <t>Bond, Strong Bond @5</t>
  </si>
  <si>
    <t>Area Drone</t>
  </si>
  <si>
    <t>5 times, 5s</t>
  </si>
  <si>
    <t>Bullet Ballet</t>
  </si>
  <si>
    <t>10 hits, 2s, MELEE</t>
  </si>
  <si>
    <t>Bullet Ballet @1</t>
  </si>
  <si>
    <t>final hit</t>
  </si>
  <si>
    <t>Bullet Ballet @5</t>
  </si>
  <si>
    <t>Marked</t>
  </si>
  <si>
    <t>1.5s</t>
  </si>
  <si>
    <t>Start &amp; Finish 1st</t>
  </si>
  <si>
    <t>1st hit</t>
  </si>
  <si>
    <t>Start &amp; Finish @1</t>
  </si>
  <si>
    <t>2nd hit</t>
  </si>
  <si>
    <t>Start &amp; Finish @5</t>
  </si>
  <si>
    <t>Gun Crazy 3xA</t>
  </si>
  <si>
    <t>10 hits, 3s, MAGIC</t>
  </si>
  <si>
    <t>Gun Crazy 3xB</t>
  </si>
  <si>
    <t>next 3</t>
  </si>
  <si>
    <t>Gun Crazy 3xC</t>
  </si>
  <si>
    <t>Gun Crazy Final</t>
  </si>
  <si>
    <t>final hit (additional)</t>
  </si>
  <si>
    <t>Passive</t>
  </si>
  <si>
    <t>One in the Chamber</t>
  </si>
  <si>
    <t>on crit</t>
  </si>
  <si>
    <t>Shotgun</t>
  </si>
  <si>
    <t>Bombardment</t>
  </si>
  <si>
    <t>every 2.5s for 20s</t>
  </si>
  <si>
    <t>Takedown</t>
  </si>
  <si>
    <t>Striker</t>
  </si>
  <si>
    <t>strike</t>
  </si>
  <si>
    <t>Single Barrel</t>
  </si>
  <si>
    <t>Out for a Kill @1</t>
  </si>
  <si>
    <t>Out for a Kill @5</t>
  </si>
  <si>
    <t>Sure Shot @1</t>
  </si>
  <si>
    <t>Sure Shot @5</t>
  </si>
  <si>
    <t>Powder Burn</t>
  </si>
  <si>
    <t>Kneecapper</t>
  </si>
  <si>
    <t>Shotgun Turret @1</t>
  </si>
  <si>
    <t>once per sec, 5s, blast</t>
  </si>
  <si>
    <t>Shotgun Turret @5</t>
  </si>
  <si>
    <t>Point Blank</t>
  </si>
  <si>
    <t>AD, MELEE</t>
  </si>
  <si>
    <t>Raging Bullet A @1</t>
  </si>
  <si>
    <t>&lt;3m</t>
  </si>
  <si>
    <t>Raging Bullet A @5</t>
  </si>
  <si>
    <t>Raging Bullet B @1</t>
  </si>
  <si>
    <t>3-9m</t>
  </si>
  <si>
    <t>Raging Bullet B @5</t>
  </si>
  <si>
    <t>Raging Bullet C @1</t>
  </si>
  <si>
    <t>&gt;9m</t>
  </si>
  <si>
    <t>Raging Bullet C @5</t>
  </si>
  <si>
    <t>Shotgun Wedding</t>
  </si>
  <si>
    <t>5x in 2.5s, 25% more dmg per hit (up to 100%), MAGIC</t>
  </si>
  <si>
    <t>CQC</t>
  </si>
  <si>
    <t>Buckshot</t>
  </si>
  <si>
    <t>1.5s, -0.5 with passive</t>
  </si>
  <si>
    <t>Buckshot @5</t>
  </si>
  <si>
    <t>Invasive Measures Proc</t>
  </si>
  <si>
    <t>17.5% chance, hit if full res</t>
  </si>
  <si>
    <t>Rifle</t>
  </si>
  <si>
    <t>Anima Shot</t>
  </si>
  <si>
    <t>Fire in the Hole @1</t>
  </si>
  <si>
    <t>2 TIMES!!</t>
  </si>
  <si>
    <t>Fire in the Hole @5</t>
  </si>
  <si>
    <t>Safety Off</t>
  </si>
  <si>
    <t>3x Burst</t>
  </si>
  <si>
    <t>Trigger Happy</t>
  </si>
  <si>
    <t>Slow the Advance</t>
  </si>
  <si>
    <t>AD, Hindered</t>
  </si>
  <si>
    <t>Slow the Advance Dot</t>
  </si>
  <si>
    <t>per sec, 8s</t>
  </si>
  <si>
    <t>Anima Burst</t>
  </si>
  <si>
    <t>Transfuse Anima @1</t>
  </si>
  <si>
    <t>Transfuse Anima @5</t>
  </si>
  <si>
    <t>Shellshocker</t>
  </si>
  <si>
    <t>8x over 2s, AD, Hindered, MELEE</t>
  </si>
  <si>
    <t>Three Round Burst @1</t>
  </si>
  <si>
    <t>3x burst</t>
  </si>
  <si>
    <t>Three Round Burst @5</t>
  </si>
  <si>
    <t>Where it Hurts @1</t>
  </si>
  <si>
    <t>afflict -&gt; hindered</t>
  </si>
  <si>
    <t>Where it Hurts @5</t>
  </si>
  <si>
    <t>Red Mist</t>
  </si>
  <si>
    <t>2s, MAGIC</t>
  </si>
  <si>
    <t>Extra Bullet</t>
  </si>
  <si>
    <t>additional safety off hit</t>
  </si>
  <si>
    <t>Blade</t>
  </si>
  <si>
    <t>Delicate Strike</t>
  </si>
  <si>
    <t>Balanced Blade @1</t>
  </si>
  <si>
    <t>Balanced Blade @5</t>
  </si>
  <si>
    <t>Dancing Blade @1</t>
  </si>
  <si>
    <t>5x over 2.5s, Focus</t>
  </si>
  <si>
    <t>Dancing Blade @5</t>
  </si>
  <si>
    <t>Destiny @1</t>
  </si>
  <si>
    <t>Destiny @5</t>
  </si>
  <si>
    <t>Destiny Dot</t>
  </si>
  <si>
    <t>every sec over 4s</t>
  </si>
  <si>
    <t>Stunning Swirl</t>
  </si>
  <si>
    <t>RANGED</t>
  </si>
  <si>
    <t>Grass Cutter</t>
  </si>
  <si>
    <t>Four Seasons</t>
  </si>
  <si>
    <t>4x + final over 2.5s, pen, MAGIC</t>
  </si>
  <si>
    <t>Four Seasons Final</t>
  </si>
  <si>
    <t>Binding Wounds @1</t>
  </si>
  <si>
    <t>Binding Wounds @5</t>
  </si>
  <si>
    <t>Sling Blade</t>
  </si>
  <si>
    <t>Sling Blade Afflict</t>
  </si>
  <si>
    <t>per sec over 5s</t>
  </si>
  <si>
    <t>The Art of War</t>
  </si>
  <si>
    <t>lolnope</t>
  </si>
  <si>
    <t>Blade Torrent</t>
  </si>
  <si>
    <t>Surging Blades</t>
  </si>
  <si>
    <t>Steel Palace @1</t>
  </si>
  <si>
    <t>Steel Palace @5</t>
  </si>
  <si>
    <t>Steel Echo</t>
  </si>
  <si>
    <t>for 10s per hit, FULL HIT</t>
  </si>
  <si>
    <t>Flight of Daggers</t>
  </si>
  <si>
    <t>after 5 hits (multihit?)</t>
  </si>
  <si>
    <t>Sudden Return</t>
  </si>
  <si>
    <t>on pen</t>
  </si>
  <si>
    <t>Fortunate Strike</t>
  </si>
  <si>
    <t>10% per hit</t>
  </si>
  <si>
    <t>Two Cuts</t>
  </si>
  <si>
    <t>Finish the Movement</t>
  </si>
  <si>
    <t>every 2nd focus, hit if full res</t>
  </si>
  <si>
    <t>Incision</t>
  </si>
  <si>
    <t>on pen, per sec, over 3s</t>
  </si>
  <si>
    <t>Hammer</t>
  </si>
  <si>
    <t>Smash</t>
  </si>
  <si>
    <t>Haymaker @1</t>
  </si>
  <si>
    <t>Haymaker @5</t>
  </si>
  <si>
    <t>Shockwave</t>
  </si>
  <si>
    <t>MAGIC, impair</t>
  </si>
  <si>
    <t>Grand Slam</t>
  </si>
  <si>
    <t>Grand Slam Proc</t>
  </si>
  <si>
    <t>Backhanded</t>
  </si>
  <si>
    <t>build 2 on 0 res</t>
  </si>
  <si>
    <t>Molten Steel @1</t>
  </si>
  <si>
    <t>15% crit dmg, 30% crit chance</t>
  </si>
  <si>
    <t>Molten Steel @5</t>
  </si>
  <si>
    <t>Bone Breaker @1</t>
  </si>
  <si>
    <t>Bone Breaker @5</t>
  </si>
  <si>
    <t>Eruption</t>
  </si>
  <si>
    <t>impair, RANGED</t>
  </si>
  <si>
    <t>Stone's Throw</t>
  </si>
  <si>
    <t>Raging Volcano</t>
  </si>
  <si>
    <t>5x+ final in 6s</t>
  </si>
  <si>
    <t>Raging Volcano Final</t>
  </si>
  <si>
    <t>Raging Volcano Effect</t>
  </si>
  <si>
    <t>on next non-volc hit</t>
  </si>
  <si>
    <t>Epicentre</t>
  </si>
  <si>
    <t>4 stacks, 5s dot</t>
  </si>
  <si>
    <t>First Blood</t>
  </si>
  <si>
    <t>First Blood First</t>
  </si>
  <si>
    <t>Grip Whip</t>
  </si>
  <si>
    <t>Thunderstruck</t>
  </si>
  <si>
    <t>Tenderising</t>
  </si>
  <si>
    <t>on weakened hit</t>
  </si>
  <si>
    <t>Fist</t>
  </si>
  <si>
    <t>Claw</t>
  </si>
  <si>
    <t>Prey on the Weak</t>
  </si>
  <si>
    <t>Go for the Throat</t>
  </si>
  <si>
    <t>AD, impair</t>
  </si>
  <si>
    <t>Go for the Throat Afflict</t>
  </si>
  <si>
    <t>10x over 10s</t>
  </si>
  <si>
    <t>Wild at Heart @1</t>
  </si>
  <si>
    <t>Wild at Heart @5</t>
  </si>
  <si>
    <t>One-Two 1st</t>
  </si>
  <si>
    <t>Burst</t>
  </si>
  <si>
    <t>One-Two @1</t>
  </si>
  <si>
    <t>One-Two @5</t>
  </si>
  <si>
    <t>X, Passive</t>
  </si>
  <si>
    <t>(passive + 25%)</t>
  </si>
  <si>
    <t>Tear Em Up @1</t>
  </si>
  <si>
    <t>10% dmg for 4s</t>
  </si>
  <si>
    <t>Tear Em Up @5</t>
  </si>
  <si>
    <t>See Red</t>
  </si>
  <si>
    <t>20x over 4s, AD, MAGIC, BUG! AD does not work</t>
  </si>
  <si>
    <t>Gore</t>
  </si>
  <si>
    <t>USELESS</t>
  </si>
  <si>
    <t>Gore Afflict</t>
  </si>
  <si>
    <t>2 ticks per sec, refresh on non-glance</t>
  </si>
  <si>
    <t>Fired Up</t>
  </si>
  <si>
    <t>Inner Spark @1</t>
  </si>
  <si>
    <t>with passive</t>
  </si>
  <si>
    <t>Inner Spark @5</t>
  </si>
  <si>
    <t>Blood</t>
  </si>
  <si>
    <t>Boiling Blood</t>
  </si>
  <si>
    <t>Blood Spike</t>
  </si>
  <si>
    <t>1.5s, 2 res</t>
  </si>
  <si>
    <t>Blood Spike Afflict</t>
  </si>
  <si>
    <t>10x in 5s</t>
  </si>
  <si>
    <t>Blood Spike Hit</t>
  </si>
  <si>
    <t>if afflicted, instead</t>
  </si>
  <si>
    <t>Cardiac Arrest</t>
  </si>
  <si>
    <t>AD, impair, MELEE</t>
  </si>
  <si>
    <t>Exsanguinate</t>
  </si>
  <si>
    <t>5x over 2.5s, focus</t>
  </si>
  <si>
    <t>Bloodline</t>
  </si>
  <si>
    <t>4x, focus</t>
  </si>
  <si>
    <t>Bloodshot</t>
  </si>
  <si>
    <t>Plague</t>
  </si>
  <si>
    <t>1.5s, 6x over 12s, RANGED</t>
  </si>
  <si>
    <t>Left Hand of Darkness</t>
  </si>
  <si>
    <t>30 ??</t>
  </si>
  <si>
    <t>3res, every sec over 4s</t>
  </si>
  <si>
    <t>Contaminate</t>
  </si>
  <si>
    <t>1s, every sec over 6s</t>
  </si>
  <si>
    <t>Transfuse and Abuse</t>
  </si>
  <si>
    <t>every sec over 7s</t>
  </si>
  <si>
    <t>Open Vein</t>
  </si>
  <si>
    <t>Guts and Gory</t>
  </si>
  <si>
    <t>Infection</t>
  </si>
  <si>
    <t>Infection Afflict</t>
  </si>
  <si>
    <t>every 2 sec for 12 sec</t>
  </si>
  <si>
    <t>There Will Be Blood</t>
  </si>
  <si>
    <t>There Will Be Blood DOT</t>
  </si>
  <si>
    <t>scales with enemies hit, maximum 6 enemies</t>
  </si>
  <si>
    <t>Gross Anatomy</t>
  </si>
  <si>
    <t>:(</t>
  </si>
  <si>
    <t>Arterial Pulse</t>
  </si>
  <si>
    <t>Third Degree</t>
  </si>
  <si>
    <t>per sec over 4s</t>
  </si>
  <si>
    <t>Blood Offering</t>
  </si>
  <si>
    <t>11.5% for blood abilities</t>
  </si>
  <si>
    <t>Torture</t>
  </si>
  <si>
    <t>hit after focus</t>
  </si>
  <si>
    <t>Chaos</t>
  </si>
  <si>
    <t>Hand of Change</t>
  </si>
  <si>
    <t>entropy</t>
  </si>
  <si>
    <t>Call for Eris 1st</t>
  </si>
  <si>
    <t>burst (res x)</t>
  </si>
  <si>
    <t>Call for Eris @1</t>
  </si>
  <si>
    <t>Call for Eris @5</t>
  </si>
  <si>
    <t>Schism @1</t>
  </si>
  <si>
    <t>Schism @5</t>
  </si>
  <si>
    <t>Schism @1 low</t>
  </si>
  <si>
    <t>&lt;35%</t>
  </si>
  <si>
    <t>Schism @5 low</t>
  </si>
  <si>
    <t>Domino Effect</t>
  </si>
  <si>
    <t>Paradox</t>
  </si>
  <si>
    <t>Four Horsemen @1</t>
  </si>
  <si>
    <t>4x burst</t>
  </si>
  <si>
    <t>Four Horsemen @5</t>
  </si>
  <si>
    <t>??? seems a bit low</t>
  </si>
  <si>
    <t>Pulling the Strings @1</t>
  </si>
  <si>
    <t>Minor Hit Chance</t>
  </si>
  <si>
    <t>Pulling the Strings @5</t>
  </si>
  <si>
    <t>Prisoner of Fate</t>
  </si>
  <si>
    <t>5x over 5s, AD, MELEE</t>
  </si>
  <si>
    <t>Prisoner of Fate low</t>
  </si>
  <si>
    <t>Eye of Pandemonium</t>
  </si>
  <si>
    <t>AD, impair, hindered</t>
  </si>
  <si>
    <t>Eye of Pandemonium 2ndary</t>
  </si>
  <si>
    <t>Run Rampant</t>
  </si>
  <si>
    <t>Suffering and Solace @1</t>
  </si>
  <si>
    <t>Suffering and Solace @5</t>
  </si>
  <si>
    <t>Gravitational Anomaly</t>
  </si>
  <si>
    <t>3x over 3s, impair</t>
  </si>
  <si>
    <t>Chaotic Pull</t>
  </si>
  <si>
    <t>Shaken Foundations</t>
  </si>
  <si>
    <t>Karma @1</t>
  </si>
  <si>
    <t>Karma @5</t>
  </si>
  <si>
    <t>Gnosis</t>
  </si>
  <si>
    <t>33% on weakened (MULTHIT TEST -&gt; seems to be per hit but at most once per sec)</t>
  </si>
  <si>
    <t>From the Abyss</t>
  </si>
  <si>
    <t>every 3 hits (MULTIHIT TEST -&gt; once per ability)</t>
  </si>
  <si>
    <t>Calamity</t>
  </si>
  <si>
    <t>15% (MULTIHIT TEST!)</t>
  </si>
  <si>
    <t>Ripple Effect</t>
  </si>
  <si>
    <t>next attack after 2 burst hits (can be consumed and gained in the same attack)</t>
  </si>
  <si>
    <t>Cutting Thoughts</t>
  </si>
  <si>
    <t>counter per hit, 5 counter -&gt; next hit does 3x cutting thoughs, gain once per sec</t>
  </si>
  <si>
    <t>Elemental</t>
  </si>
  <si>
    <t>Shock</t>
  </si>
  <si>
    <t>Combust</t>
  </si>
  <si>
    <t>1 res if hindered, 1.5s unless passive</t>
  </si>
  <si>
    <t>Molten Earth</t>
  </si>
  <si>
    <t>Thor's Hammer</t>
  </si>
  <si>
    <t>2s, strike</t>
  </si>
  <si>
    <t>Electrical Bolt</t>
  </si>
  <si>
    <t>2 res if hindered enemy</t>
  </si>
  <si>
    <t>Flame Strike</t>
  </si>
  <si>
    <t>2 res, strike</t>
  </si>
  <si>
    <t>Blaze</t>
  </si>
  <si>
    <t>3 res, 1.5s</t>
  </si>
  <si>
    <t>Power Line</t>
  </si>
  <si>
    <t>10x over 10s, RANGED, no procs, vuln immediately, affected by additive</t>
  </si>
  <si>
    <t>Power Line Detonation</t>
  </si>
  <si>
    <t>up to x3, realistically only 2.8x</t>
  </si>
  <si>
    <t>Whiteout</t>
  </si>
  <si>
    <t>16x over 8s, 1s, does not proc, affected by additive</t>
  </si>
  <si>
    <t>Hard Reset</t>
  </si>
  <si>
    <t>2s, crit, AD</t>
  </si>
  <si>
    <t>Ignition</t>
  </si>
  <si>
    <t>Ignite</t>
  </si>
  <si>
    <t>Ignite First</t>
  </si>
  <si>
    <t>Fire Manifestation</t>
  </si>
  <si>
    <t>2 res, 1s, 4x over 10s</t>
  </si>
  <si>
    <t>Lightning Manifestation</t>
  </si>
  <si>
    <t>2 res, 1s, 10x over 10s</t>
  </si>
  <si>
    <t>Overload</t>
  </si>
  <si>
    <t>2x + final over 3s, MELEE</t>
  </si>
  <si>
    <t>Overload final</t>
  </si>
  <si>
    <t>Live Wire Proc</t>
  </si>
  <si>
    <t>next hit after crit</t>
  </si>
  <si>
    <t>Elemental Overload</t>
  </si>
  <si>
    <t>33% chance</t>
  </si>
  <si>
    <t>Mind Over Matter</t>
  </si>
  <si>
    <t>on crit, every sec over 5s</t>
  </si>
  <si>
    <t>Aux</t>
  </si>
  <si>
    <t>Timber</t>
  </si>
  <si>
    <t>without augur!</t>
  </si>
  <si>
    <t>The Carver's Art</t>
  </si>
  <si>
    <t>15x over 3s</t>
  </si>
  <si>
    <t>Scorched Earth</t>
  </si>
  <si>
    <t>.5s casttime, 20x over 6s</t>
  </si>
  <si>
    <t>Incendiary Expertise</t>
  </si>
  <si>
    <t>7x over 7s, +10% each sec (flamethrower passive)</t>
  </si>
  <si>
    <t>Pop Shot</t>
  </si>
  <si>
    <t>Big Red Button</t>
  </si>
  <si>
    <t>Death from Above</t>
  </si>
  <si>
    <t>Clusterstruck</t>
  </si>
  <si>
    <t>Crack!</t>
  </si>
  <si>
    <t>Whip It Good</t>
  </si>
  <si>
    <t>every 0.4 sec for 2 sec</t>
  </si>
  <si>
    <t>Collider</t>
  </si>
  <si>
    <t>every 0.25 sec for 2.5 sec</t>
  </si>
  <si>
    <t>Collapse per Collider Stack</t>
  </si>
  <si>
    <t>Collapse maximum Damage</t>
  </si>
  <si>
    <t>Polestar</t>
  </si>
  <si>
    <t>Oblivion</t>
  </si>
  <si>
    <t>Vector hit</t>
  </si>
  <si>
    <t>Vector dot</t>
  </si>
  <si>
    <t>every sec for 6 sec</t>
  </si>
  <si>
    <t>Space</t>
  </si>
  <si>
    <t>Cremate hit</t>
  </si>
  <si>
    <t>Cremate dot</t>
  </si>
  <si>
    <t>every sec for 10 sec</t>
  </si>
  <si>
    <t>Dragon's Breath</t>
  </si>
  <si>
    <t>Smells like Victory</t>
  </si>
  <si>
    <t>Fire it up</t>
  </si>
  <si>
    <t>Fire it up without Smells like Victory</t>
  </si>
  <si>
    <t>Hurly-Burly</t>
  </si>
  <si>
    <t>every 0.5 sec for 2.5 sec</t>
  </si>
  <si>
    <t>Reduces Physical and Magical Protection by 200</t>
  </si>
  <si>
    <t>Whiplash</t>
  </si>
  <si>
    <t>Anima Deviations</t>
  </si>
  <si>
    <t>Anima Deviation</t>
  </si>
  <si>
    <t>-</t>
  </si>
  <si>
    <t>Averaged</t>
  </si>
  <si>
    <t>against Pol1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</si>
</sst>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4">
    <font>
      <sz val="10.0"/>
      <color rgb="FF000000"/>
      <name val="Arial"/>
    </font>
    <font>
      <b/>
    </font>
    <font/>
    <font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1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2" fontId="2" numFmtId="0" xfId="0" applyFill="1" applyFont="1"/>
    <xf borderId="0" fillId="2" fontId="2" numFmtId="0" xfId="0" applyAlignment="1" applyFont="1">
      <alignment readingOrder="0"/>
    </xf>
    <xf borderId="0" fillId="0" fontId="3" numFmtId="164" xfId="0" applyAlignment="1" applyFont="1" applyNumberFormat="1">
      <alignment horizontal="right" vertical="bottom"/>
    </xf>
    <xf borderId="0" fillId="0" fontId="3" numFmtId="1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9" xfId="0" applyAlignment="1" applyFont="1" applyNumberFormat="1">
      <alignment horizontal="right" vertical="bottom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27.13"/>
    <col customWidth="1" min="3" max="3" width="8.5"/>
    <col customWidth="1" min="4" max="4" width="10.88"/>
    <col customWidth="1" min="5" max="5" width="7.38"/>
    <col customWidth="1" min="11" max="11" width="12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1" t="s">
        <v>12</v>
      </c>
      <c r="B2" s="1" t="s">
        <v>13</v>
      </c>
      <c r="C2" s="3"/>
      <c r="D2" s="4"/>
      <c r="E2" s="2"/>
      <c r="F2" s="2"/>
      <c r="G2" s="2"/>
      <c r="H2" s="5"/>
      <c r="I2" s="5"/>
    </row>
    <row r="3">
      <c r="A3" s="2"/>
      <c r="B3" s="2" t="s">
        <v>14</v>
      </c>
      <c r="C3" s="3">
        <f t="shared" ref="C3:C24" si="1">F3/(1+H3+I3)/G3</f>
        <v>0.1609347727</v>
      </c>
      <c r="D3" s="4">
        <f t="shared" ref="D3:D24" si="2">C3*1000</f>
        <v>160.9347727</v>
      </c>
      <c r="E3" s="2"/>
      <c r="F3" s="2">
        <v>162.0</v>
      </c>
      <c r="G3" s="2">
        <v>977.3</v>
      </c>
      <c r="H3" s="5">
        <v>0.0</v>
      </c>
      <c r="I3" s="5">
        <v>0.03</v>
      </c>
      <c r="J3" s="2"/>
      <c r="K3" s="2" t="s">
        <v>15</v>
      </c>
      <c r="L3" s="2" t="s">
        <v>16</v>
      </c>
    </row>
    <row r="4">
      <c r="A4" s="2"/>
      <c r="B4" s="2" t="s">
        <v>17</v>
      </c>
      <c r="C4" s="3">
        <f t="shared" si="1"/>
        <v>0.214579697</v>
      </c>
      <c r="D4" s="4">
        <f t="shared" si="2"/>
        <v>214.579697</v>
      </c>
      <c r="E4" s="2"/>
      <c r="F4" s="2">
        <v>216.0</v>
      </c>
      <c r="G4" s="2">
        <v>977.3</v>
      </c>
      <c r="H4" s="5">
        <v>0.0</v>
      </c>
      <c r="I4" s="5">
        <v>0.03</v>
      </c>
      <c r="J4" s="2"/>
      <c r="K4" s="2" t="s">
        <v>15</v>
      </c>
      <c r="L4" s="2" t="s">
        <v>18</v>
      </c>
    </row>
    <row r="5">
      <c r="A5" s="2"/>
      <c r="B5" s="2" t="s">
        <v>19</v>
      </c>
      <c r="C5" s="3">
        <f t="shared" si="1"/>
        <v>1.753394283</v>
      </c>
      <c r="D5" s="4">
        <f t="shared" si="2"/>
        <v>1753.394283</v>
      </c>
      <c r="E5" s="2"/>
      <c r="F5" s="2">
        <v>1765.0</v>
      </c>
      <c r="G5" s="2">
        <v>977.3</v>
      </c>
      <c r="H5" s="5">
        <v>0.0</v>
      </c>
      <c r="I5" s="5">
        <v>0.03</v>
      </c>
      <c r="K5" s="2" t="s">
        <v>20</v>
      </c>
    </row>
    <row r="6">
      <c r="A6" s="2"/>
      <c r="B6" s="2" t="s">
        <v>21</v>
      </c>
      <c r="C6" s="3">
        <f t="shared" si="1"/>
        <v>3.024977673</v>
      </c>
      <c r="D6" s="4">
        <f t="shared" si="2"/>
        <v>3024.977673</v>
      </c>
      <c r="E6" s="2"/>
      <c r="F6" s="2">
        <v>3045.0</v>
      </c>
      <c r="G6" s="2">
        <v>977.3</v>
      </c>
      <c r="H6" s="5">
        <v>0.0</v>
      </c>
      <c r="I6" s="5">
        <v>0.03</v>
      </c>
      <c r="K6" s="2" t="s">
        <v>15</v>
      </c>
    </row>
    <row r="7">
      <c r="A7" s="2"/>
      <c r="B7" s="2" t="s">
        <v>22</v>
      </c>
      <c r="C7" s="3">
        <f t="shared" si="1"/>
        <v>0.5424097896</v>
      </c>
      <c r="D7" s="4">
        <f t="shared" si="2"/>
        <v>542.4097896</v>
      </c>
      <c r="E7" s="2"/>
      <c r="F7" s="2">
        <v>546.0</v>
      </c>
      <c r="G7" s="2">
        <v>977.3</v>
      </c>
      <c r="H7" s="5">
        <v>0.0</v>
      </c>
      <c r="I7" s="5">
        <v>0.03</v>
      </c>
      <c r="J7" s="2">
        <v>4.0</v>
      </c>
      <c r="K7" s="2" t="s">
        <v>15</v>
      </c>
      <c r="L7" s="2" t="s">
        <v>23</v>
      </c>
    </row>
    <row r="8">
      <c r="A8" s="2"/>
      <c r="B8" s="2" t="s">
        <v>24</v>
      </c>
      <c r="C8" s="3">
        <f t="shared" si="1"/>
        <v>0.8146081089</v>
      </c>
      <c r="D8" s="4">
        <f t="shared" si="2"/>
        <v>814.6081089</v>
      </c>
      <c r="E8" s="2"/>
      <c r="F8" s="2">
        <v>820.0</v>
      </c>
      <c r="G8" s="2">
        <v>977.3</v>
      </c>
      <c r="H8" s="5">
        <v>0.0</v>
      </c>
      <c r="I8" s="5">
        <v>0.03</v>
      </c>
      <c r="J8" s="2">
        <v>4.0</v>
      </c>
      <c r="K8" s="2" t="s">
        <v>15</v>
      </c>
      <c r="L8" s="2"/>
    </row>
    <row r="9">
      <c r="A9" s="2"/>
      <c r="B9" s="2" t="s">
        <v>25</v>
      </c>
      <c r="C9" s="3">
        <f t="shared" si="1"/>
        <v>4.600216014</v>
      </c>
      <c r="D9" s="4">
        <f t="shared" si="2"/>
        <v>4600.216014</v>
      </c>
      <c r="E9" s="2"/>
      <c r="F9" s="2">
        <v>4634.0</v>
      </c>
      <c r="G9" s="2">
        <v>968.6</v>
      </c>
      <c r="H9" s="5">
        <v>0.01</v>
      </c>
      <c r="I9" s="5">
        <v>0.03</v>
      </c>
      <c r="J9" s="2">
        <v>25.0</v>
      </c>
      <c r="K9" s="2" t="s">
        <v>15</v>
      </c>
      <c r="L9" s="2" t="s">
        <v>26</v>
      </c>
    </row>
    <row r="10">
      <c r="A10" s="2"/>
      <c r="B10" s="2" t="s">
        <v>27</v>
      </c>
      <c r="C10" s="3">
        <f t="shared" si="1"/>
        <v>0.616472625</v>
      </c>
      <c r="D10" s="4">
        <f t="shared" si="2"/>
        <v>616.472625</v>
      </c>
      <c r="E10" s="2"/>
      <c r="F10" s="2">
        <v>621.0</v>
      </c>
      <c r="G10" s="2">
        <v>968.6</v>
      </c>
      <c r="H10" s="5">
        <v>0.01</v>
      </c>
      <c r="I10" s="5">
        <v>0.03</v>
      </c>
      <c r="J10" s="2"/>
      <c r="K10" s="2" t="s">
        <v>15</v>
      </c>
      <c r="L10" s="2"/>
    </row>
    <row r="11">
      <c r="A11" s="2"/>
      <c r="B11" s="2" t="s">
        <v>28</v>
      </c>
      <c r="C11" s="3">
        <f t="shared" si="1"/>
        <v>0.2392429994</v>
      </c>
      <c r="D11" s="4">
        <f t="shared" si="2"/>
        <v>239.2429994</v>
      </c>
      <c r="E11" s="2"/>
      <c r="F11" s="2">
        <v>241.0</v>
      </c>
      <c r="G11" s="2">
        <v>968.6</v>
      </c>
      <c r="H11" s="5">
        <v>0.01</v>
      </c>
      <c r="I11" s="5">
        <v>0.03</v>
      </c>
      <c r="J11" s="2">
        <v>4.0</v>
      </c>
      <c r="K11" s="2" t="s">
        <v>15</v>
      </c>
      <c r="L11" s="2" t="s">
        <v>29</v>
      </c>
    </row>
    <row r="12">
      <c r="A12" s="2"/>
      <c r="B12" s="2" t="s">
        <v>30</v>
      </c>
      <c r="C12" s="3">
        <f t="shared" si="1"/>
        <v>0.3812004638</v>
      </c>
      <c r="D12" s="4">
        <f t="shared" si="2"/>
        <v>381.2004638</v>
      </c>
      <c r="E12" s="2"/>
      <c r="F12" s="2">
        <v>384.0</v>
      </c>
      <c r="G12" s="2">
        <v>968.6</v>
      </c>
      <c r="H12" s="5">
        <v>0.01</v>
      </c>
      <c r="I12" s="5">
        <v>0.03</v>
      </c>
      <c r="J12" s="2">
        <v>4.0</v>
      </c>
      <c r="K12" s="2" t="s">
        <v>15</v>
      </c>
    </row>
    <row r="13">
      <c r="A13" s="2"/>
      <c r="B13" s="2" t="s">
        <v>31</v>
      </c>
      <c r="C13" s="3">
        <f t="shared" si="1"/>
        <v>0.4675661939</v>
      </c>
      <c r="D13" s="4">
        <f t="shared" si="2"/>
        <v>467.5661939</v>
      </c>
      <c r="E13" s="2"/>
      <c r="F13" s="2">
        <v>471.0</v>
      </c>
      <c r="G13" s="2">
        <v>968.6</v>
      </c>
      <c r="H13" s="5">
        <v>0.01</v>
      </c>
      <c r="I13" s="5">
        <v>0.03</v>
      </c>
      <c r="J13" s="2">
        <v>4.0</v>
      </c>
      <c r="K13" s="2"/>
      <c r="L13" s="2" t="s">
        <v>32</v>
      </c>
    </row>
    <row r="14">
      <c r="A14" s="2"/>
      <c r="B14" s="2" t="s">
        <v>33</v>
      </c>
      <c r="C14" s="3">
        <f t="shared" si="1"/>
        <v>0.579742372</v>
      </c>
      <c r="D14" s="4">
        <f t="shared" si="2"/>
        <v>579.742372</v>
      </c>
      <c r="E14" s="2"/>
      <c r="F14" s="2">
        <v>584.0</v>
      </c>
      <c r="G14" s="2">
        <v>968.6</v>
      </c>
      <c r="H14" s="5">
        <v>0.01</v>
      </c>
      <c r="I14" s="5">
        <v>0.03</v>
      </c>
      <c r="J14" s="2">
        <v>20.0</v>
      </c>
      <c r="K14" s="2" t="s">
        <v>15</v>
      </c>
      <c r="L14" s="2" t="s">
        <v>34</v>
      </c>
    </row>
    <row r="15">
      <c r="A15" s="2"/>
      <c r="B15" s="2" t="s">
        <v>35</v>
      </c>
      <c r="C15" s="3">
        <f t="shared" si="1"/>
        <v>0.2759732524</v>
      </c>
      <c r="D15" s="4">
        <f t="shared" si="2"/>
        <v>275.9732524</v>
      </c>
      <c r="E15" s="2"/>
      <c r="F15" s="2">
        <v>278.0</v>
      </c>
      <c r="G15" s="2">
        <v>968.6</v>
      </c>
      <c r="H15" s="5">
        <v>0.01</v>
      </c>
      <c r="I15" s="5">
        <v>0.03</v>
      </c>
      <c r="K15" s="2" t="s">
        <v>15</v>
      </c>
      <c r="L15" s="2" t="s">
        <v>36</v>
      </c>
    </row>
    <row r="16">
      <c r="A16" s="2"/>
      <c r="B16" s="2" t="s">
        <v>37</v>
      </c>
      <c r="C16" s="3">
        <f t="shared" si="1"/>
        <v>1.448363221</v>
      </c>
      <c r="D16" s="4">
        <f t="shared" si="2"/>
        <v>1448.363221</v>
      </c>
      <c r="E16" s="2"/>
      <c r="F16" s="2">
        <v>1459.0</v>
      </c>
      <c r="G16" s="2">
        <v>968.6</v>
      </c>
      <c r="H16" s="5">
        <v>0.01</v>
      </c>
      <c r="I16" s="5">
        <v>0.03</v>
      </c>
      <c r="K16" s="2" t="s">
        <v>15</v>
      </c>
      <c r="L16" s="2" t="s">
        <v>36</v>
      </c>
    </row>
    <row r="17">
      <c r="A17" s="2"/>
      <c r="B17" s="2" t="s">
        <v>38</v>
      </c>
      <c r="C17" s="3">
        <f t="shared" si="1"/>
        <v>2.173041186</v>
      </c>
      <c r="D17" s="4">
        <f t="shared" si="2"/>
        <v>2173.041186</v>
      </c>
      <c r="E17" s="2"/>
      <c r="F17" s="2">
        <v>2189.0</v>
      </c>
      <c r="G17" s="2">
        <v>968.6</v>
      </c>
      <c r="H17" s="5">
        <v>0.01</v>
      </c>
      <c r="I17" s="5">
        <v>0.03</v>
      </c>
      <c r="J17" s="2">
        <v>30.0</v>
      </c>
      <c r="K17" s="2" t="s">
        <v>15</v>
      </c>
      <c r="L17" s="2" t="s">
        <v>39</v>
      </c>
    </row>
    <row r="18">
      <c r="A18" s="2"/>
      <c r="B18" s="2" t="s">
        <v>40</v>
      </c>
      <c r="C18" s="3">
        <f t="shared" si="1"/>
        <v>0.30277641</v>
      </c>
      <c r="D18" s="4">
        <f t="shared" si="2"/>
        <v>302.77641</v>
      </c>
      <c r="E18" s="2"/>
      <c r="F18" s="2">
        <v>305.0</v>
      </c>
      <c r="G18" s="2">
        <v>968.6</v>
      </c>
      <c r="H18" s="5">
        <v>0.01</v>
      </c>
      <c r="I18" s="5">
        <v>0.03</v>
      </c>
      <c r="J18" s="2">
        <v>4.0</v>
      </c>
      <c r="K18" s="2" t="s">
        <v>15</v>
      </c>
      <c r="L18" s="2" t="s">
        <v>41</v>
      </c>
    </row>
    <row r="19">
      <c r="A19" s="2"/>
      <c r="B19" s="2" t="s">
        <v>42</v>
      </c>
      <c r="C19" s="3">
        <f t="shared" si="1"/>
        <v>0.9222271637</v>
      </c>
      <c r="D19" s="4">
        <f t="shared" si="2"/>
        <v>922.2271637</v>
      </c>
      <c r="E19" s="2"/>
      <c r="F19" s="2">
        <v>929.0</v>
      </c>
      <c r="G19" s="2">
        <v>968.6</v>
      </c>
      <c r="H19" s="5">
        <v>0.01</v>
      </c>
      <c r="I19" s="5">
        <v>0.03</v>
      </c>
      <c r="J19" s="2">
        <v>4.0</v>
      </c>
      <c r="K19" s="2" t="s">
        <v>15</v>
      </c>
      <c r="L19" s="2" t="s">
        <v>43</v>
      </c>
    </row>
    <row r="20">
      <c r="A20" s="2"/>
      <c r="B20" s="2" t="s">
        <v>44</v>
      </c>
      <c r="C20" s="3">
        <f t="shared" si="1"/>
        <v>2.009244111</v>
      </c>
      <c r="D20" s="4">
        <f t="shared" si="2"/>
        <v>2009.244111</v>
      </c>
      <c r="E20" s="2"/>
      <c r="F20" s="2">
        <v>2024.0</v>
      </c>
      <c r="G20" s="2">
        <v>968.6</v>
      </c>
      <c r="H20" s="5">
        <v>0.01</v>
      </c>
      <c r="I20" s="5">
        <v>0.03</v>
      </c>
      <c r="J20" s="2">
        <v>4.0</v>
      </c>
      <c r="K20" s="2" t="s">
        <v>15</v>
      </c>
    </row>
    <row r="21">
      <c r="A21" s="2"/>
      <c r="B21" s="2" t="s">
        <v>45</v>
      </c>
      <c r="C21" s="3">
        <f t="shared" si="1"/>
        <v>0.2799440906</v>
      </c>
      <c r="D21" s="4">
        <f t="shared" si="2"/>
        <v>279.9440906</v>
      </c>
      <c r="E21" s="2"/>
      <c r="F21" s="2">
        <v>282.0</v>
      </c>
      <c r="G21" s="2">
        <v>968.6</v>
      </c>
      <c r="H21" s="5">
        <v>0.01</v>
      </c>
      <c r="I21" s="5">
        <v>0.03</v>
      </c>
      <c r="J21" s="2">
        <v>20.0</v>
      </c>
      <c r="K21" s="2" t="s">
        <v>15</v>
      </c>
      <c r="L21" s="2" t="s">
        <v>46</v>
      </c>
    </row>
    <row r="22">
      <c r="A22" s="2"/>
      <c r="B22" s="2" t="s">
        <v>47</v>
      </c>
      <c r="C22" s="3">
        <f t="shared" si="1"/>
        <v>0.4665734843</v>
      </c>
      <c r="D22" s="4">
        <f t="shared" si="2"/>
        <v>466.5734843</v>
      </c>
      <c r="E22" s="2"/>
      <c r="F22" s="2">
        <v>470.0</v>
      </c>
      <c r="G22" s="2">
        <v>968.6</v>
      </c>
      <c r="H22" s="5">
        <v>0.01</v>
      </c>
      <c r="I22" s="5">
        <v>0.03</v>
      </c>
      <c r="K22" s="2" t="s">
        <v>15</v>
      </c>
      <c r="L22" s="2" t="s">
        <v>48</v>
      </c>
    </row>
    <row r="23">
      <c r="A23" s="2"/>
      <c r="B23" s="2" t="s">
        <v>49</v>
      </c>
      <c r="C23" s="3">
        <f t="shared" si="1"/>
        <v>0.8169999523</v>
      </c>
      <c r="D23" s="4">
        <f t="shared" si="2"/>
        <v>816.9999523</v>
      </c>
      <c r="E23" s="2"/>
      <c r="F23" s="2">
        <v>823.0</v>
      </c>
      <c r="G23" s="2">
        <v>968.6</v>
      </c>
      <c r="H23" s="5">
        <v>0.01</v>
      </c>
      <c r="I23" s="5">
        <v>0.03</v>
      </c>
      <c r="K23" s="2" t="s">
        <v>15</v>
      </c>
      <c r="L23" s="2" t="s">
        <v>48</v>
      </c>
    </row>
    <row r="24">
      <c r="A24" s="2"/>
      <c r="B24" s="2" t="s">
        <v>50</v>
      </c>
      <c r="C24" s="3">
        <f t="shared" si="1"/>
        <v>2.311027812</v>
      </c>
      <c r="D24" s="4">
        <f t="shared" si="2"/>
        <v>2311.027812</v>
      </c>
      <c r="E24" s="2"/>
      <c r="F24" s="2">
        <v>2328.0</v>
      </c>
      <c r="G24" s="2">
        <v>968.6</v>
      </c>
      <c r="H24" s="5">
        <v>0.01</v>
      </c>
      <c r="I24" s="5">
        <v>0.03</v>
      </c>
      <c r="K24" s="2" t="s">
        <v>15</v>
      </c>
      <c r="L24" s="2" t="s">
        <v>51</v>
      </c>
    </row>
    <row r="25">
      <c r="A25" s="2"/>
      <c r="B25" s="1" t="s">
        <v>52</v>
      </c>
      <c r="C25" s="3"/>
      <c r="D25" s="4"/>
      <c r="E25" s="2"/>
      <c r="F25" s="2"/>
      <c r="G25" s="2"/>
      <c r="H25" s="5"/>
      <c r="I25" s="5"/>
    </row>
    <row r="26">
      <c r="A26" s="2"/>
      <c r="B26" s="2" t="s">
        <v>53</v>
      </c>
      <c r="C26" s="3">
        <f>F26/(1+H26+I26)/G26</f>
        <v>0.3682952398</v>
      </c>
      <c r="D26" s="4">
        <f>C26*1000</f>
        <v>368.2952398</v>
      </c>
      <c r="E26" s="2"/>
      <c r="F26" s="2">
        <v>371.0</v>
      </c>
      <c r="G26" s="2">
        <v>968.6</v>
      </c>
      <c r="H26" s="5">
        <v>0.01</v>
      </c>
      <c r="I26" s="5">
        <v>0.03</v>
      </c>
      <c r="K26" s="2" t="s">
        <v>15</v>
      </c>
      <c r="L26" s="2" t="s">
        <v>54</v>
      </c>
    </row>
    <row r="27">
      <c r="A27" s="2"/>
      <c r="B27" s="2"/>
      <c r="C27" s="3"/>
      <c r="D27" s="4"/>
      <c r="E27" s="2"/>
      <c r="F27" s="2"/>
      <c r="G27" s="2"/>
      <c r="H27" s="5"/>
      <c r="I27" s="5"/>
    </row>
    <row r="28">
      <c r="A28" s="1" t="s">
        <v>55</v>
      </c>
      <c r="B28" s="1" t="s">
        <v>13</v>
      </c>
      <c r="C28" s="3"/>
      <c r="D28" s="4"/>
      <c r="E28" s="2"/>
      <c r="F28" s="2"/>
      <c r="G28" s="2"/>
      <c r="H28" s="5"/>
      <c r="I28" s="5"/>
    </row>
    <row r="29">
      <c r="A29" s="2"/>
      <c r="B29" s="2" t="s">
        <v>56</v>
      </c>
      <c r="C29" s="3">
        <f t="shared" ref="C29:C51" si="3">F29/(1+H29+I29)/G29</f>
        <v>0.9847678648</v>
      </c>
      <c r="D29" s="4">
        <f t="shared" ref="D29:D51" si="4">C29*1000</f>
        <v>984.7678648</v>
      </c>
      <c r="E29" s="2"/>
      <c r="F29" s="2">
        <v>992.0</v>
      </c>
      <c r="G29" s="2">
        <v>968.6</v>
      </c>
      <c r="H29" s="5">
        <v>0.01</v>
      </c>
      <c r="I29" s="5">
        <v>0.03</v>
      </c>
      <c r="J29" s="2">
        <v>30.0</v>
      </c>
      <c r="K29" s="2" t="s">
        <v>15</v>
      </c>
      <c r="L29" s="2" t="s">
        <v>57</v>
      </c>
    </row>
    <row r="30">
      <c r="A30" s="2"/>
      <c r="B30" s="2" t="s">
        <v>58</v>
      </c>
      <c r="C30" s="3">
        <f t="shared" si="3"/>
        <v>1.56166335</v>
      </c>
      <c r="D30" s="4">
        <f t="shared" si="4"/>
        <v>1561.66335</v>
      </c>
      <c r="E30" s="2"/>
      <c r="F30" s="2">
        <v>1572.0</v>
      </c>
      <c r="G30" s="2">
        <v>977.3</v>
      </c>
      <c r="H30" s="5">
        <v>0.0</v>
      </c>
      <c r="I30" s="5">
        <v>0.03</v>
      </c>
      <c r="K30" s="2" t="s">
        <v>15</v>
      </c>
    </row>
    <row r="31">
      <c r="A31" s="2"/>
      <c r="B31" s="2" t="s">
        <v>59</v>
      </c>
      <c r="C31" s="3">
        <f t="shared" si="3"/>
        <v>0.643739091</v>
      </c>
      <c r="D31" s="4">
        <f t="shared" si="4"/>
        <v>643.739091</v>
      </c>
      <c r="E31" s="2"/>
      <c r="F31" s="2">
        <v>648.0</v>
      </c>
      <c r="G31" s="2">
        <v>977.3</v>
      </c>
      <c r="H31" s="5">
        <v>0.0</v>
      </c>
      <c r="I31" s="5">
        <v>0.03</v>
      </c>
      <c r="K31" s="2" t="s">
        <v>15</v>
      </c>
      <c r="L31" s="2" t="s">
        <v>60</v>
      </c>
    </row>
    <row r="32">
      <c r="A32" s="2"/>
      <c r="B32" s="2" t="s">
        <v>61</v>
      </c>
      <c r="C32" s="3">
        <f t="shared" si="3"/>
        <v>0.6804957983</v>
      </c>
      <c r="D32" s="4">
        <f t="shared" si="4"/>
        <v>680.4957983</v>
      </c>
      <c r="E32" s="2"/>
      <c r="F32" s="2">
        <v>685.0</v>
      </c>
      <c r="G32" s="2">
        <v>977.3</v>
      </c>
      <c r="H32" s="5">
        <v>0.0</v>
      </c>
      <c r="I32" s="5">
        <v>0.03</v>
      </c>
      <c r="K32" s="2" t="s">
        <v>15</v>
      </c>
    </row>
    <row r="33">
      <c r="A33" s="2"/>
      <c r="B33" s="2" t="s">
        <v>62</v>
      </c>
      <c r="C33" s="3">
        <f t="shared" si="3"/>
        <v>1.196083126</v>
      </c>
      <c r="D33" s="4">
        <f t="shared" si="4"/>
        <v>1196.083126</v>
      </c>
      <c r="E33" s="2"/>
      <c r="F33" s="2">
        <v>1204.0</v>
      </c>
      <c r="G33" s="2">
        <v>977.3</v>
      </c>
      <c r="H33" s="5">
        <v>0.0</v>
      </c>
      <c r="I33" s="5">
        <v>0.03</v>
      </c>
      <c r="J33" s="2">
        <v>4.0</v>
      </c>
      <c r="K33" s="2" t="s">
        <v>15</v>
      </c>
      <c r="L33" s="2"/>
    </row>
    <row r="34">
      <c r="A34" s="2"/>
      <c r="B34" s="2" t="s">
        <v>63</v>
      </c>
      <c r="C34" s="3">
        <f t="shared" si="3"/>
        <v>2.368324063</v>
      </c>
      <c r="D34" s="4">
        <f t="shared" si="4"/>
        <v>2368.324063</v>
      </c>
      <c r="E34" s="2"/>
      <c r="F34" s="2">
        <v>2384.0</v>
      </c>
      <c r="G34" s="2">
        <v>977.3</v>
      </c>
      <c r="H34" s="5">
        <v>0.0</v>
      </c>
      <c r="I34" s="5">
        <v>0.03</v>
      </c>
      <c r="J34" s="2">
        <v>4.0</v>
      </c>
      <c r="K34" s="2" t="s">
        <v>15</v>
      </c>
    </row>
    <row r="35">
      <c r="A35" s="2"/>
      <c r="B35" s="2" t="s">
        <v>64</v>
      </c>
      <c r="C35" s="3">
        <f t="shared" si="3"/>
        <v>1.196083126</v>
      </c>
      <c r="D35" s="4">
        <f t="shared" si="4"/>
        <v>1196.083126</v>
      </c>
      <c r="E35" s="2"/>
      <c r="F35" s="2">
        <v>1204.0</v>
      </c>
      <c r="G35" s="2">
        <v>977.3</v>
      </c>
      <c r="H35" s="5">
        <v>0.0</v>
      </c>
      <c r="I35" s="5">
        <v>0.03</v>
      </c>
      <c r="J35" s="2">
        <v>4.0</v>
      </c>
      <c r="K35" s="2" t="s">
        <v>15</v>
      </c>
      <c r="L35" s="2"/>
    </row>
    <row r="36">
      <c r="A36" s="2"/>
      <c r="B36" s="2" t="s">
        <v>65</v>
      </c>
      <c r="C36" s="3">
        <f t="shared" si="3"/>
        <v>2.368324063</v>
      </c>
      <c r="D36" s="4">
        <f t="shared" si="4"/>
        <v>2368.324063</v>
      </c>
      <c r="E36" s="2"/>
      <c r="F36" s="2">
        <v>2384.0</v>
      </c>
      <c r="G36" s="2">
        <v>977.3</v>
      </c>
      <c r="H36" s="5">
        <v>0.0</v>
      </c>
      <c r="I36" s="5">
        <v>0.03</v>
      </c>
      <c r="J36" s="2">
        <v>4.0</v>
      </c>
      <c r="K36" s="2" t="s">
        <v>15</v>
      </c>
    </row>
    <row r="37">
      <c r="B37" s="2" t="s">
        <v>66</v>
      </c>
      <c r="C37" s="3">
        <f t="shared" si="3"/>
        <v>0.6442684922</v>
      </c>
      <c r="D37" s="4">
        <f t="shared" si="4"/>
        <v>644.2684922</v>
      </c>
      <c r="E37" s="2"/>
      <c r="F37" s="2">
        <v>649.0</v>
      </c>
      <c r="G37" s="2">
        <v>968.6</v>
      </c>
      <c r="H37" s="5">
        <v>0.01</v>
      </c>
      <c r="I37" s="5">
        <v>0.03</v>
      </c>
      <c r="K37" s="2"/>
      <c r="L37" s="2" t="s">
        <v>60</v>
      </c>
    </row>
    <row r="38">
      <c r="B38" s="2" t="s">
        <v>67</v>
      </c>
      <c r="C38" s="3">
        <f t="shared" si="3"/>
        <v>4.600216014</v>
      </c>
      <c r="D38" s="4">
        <f t="shared" si="4"/>
        <v>4600.216014</v>
      </c>
      <c r="E38" s="2"/>
      <c r="F38" s="2">
        <v>4634.0</v>
      </c>
      <c r="G38" s="2">
        <v>968.6</v>
      </c>
      <c r="H38" s="5">
        <v>0.01</v>
      </c>
      <c r="I38" s="5">
        <v>0.03</v>
      </c>
      <c r="J38" s="2">
        <v>25.0</v>
      </c>
      <c r="K38" s="2" t="s">
        <v>15</v>
      </c>
      <c r="L38" s="2" t="s">
        <v>26</v>
      </c>
    </row>
    <row r="39">
      <c r="B39" s="2" t="s">
        <v>68</v>
      </c>
      <c r="C39" s="3">
        <f t="shared" si="3"/>
        <v>0.1876221033</v>
      </c>
      <c r="D39" s="4">
        <f t="shared" si="4"/>
        <v>187.6221033</v>
      </c>
      <c r="E39" s="2"/>
      <c r="F39" s="2">
        <v>189.0</v>
      </c>
      <c r="G39" s="2">
        <v>968.6</v>
      </c>
      <c r="H39" s="5">
        <v>0.01</v>
      </c>
      <c r="I39" s="5">
        <v>0.03</v>
      </c>
      <c r="J39" s="2">
        <v>10.0</v>
      </c>
      <c r="K39" s="2"/>
      <c r="L39" s="2" t="s">
        <v>69</v>
      </c>
    </row>
    <row r="40">
      <c r="B40" s="2" t="s">
        <v>70</v>
      </c>
      <c r="C40" s="3">
        <f t="shared" si="3"/>
        <v>0.3722660779</v>
      </c>
      <c r="D40" s="4">
        <f t="shared" si="4"/>
        <v>372.2660779</v>
      </c>
      <c r="E40" s="2"/>
      <c r="F40" s="2">
        <v>375.0</v>
      </c>
      <c r="G40" s="2">
        <v>968.6</v>
      </c>
      <c r="H40" s="5">
        <v>0.01</v>
      </c>
      <c r="I40" s="5">
        <v>0.03</v>
      </c>
      <c r="J40" s="2">
        <v>10.0</v>
      </c>
      <c r="K40" s="2"/>
      <c r="L40" s="2" t="s">
        <v>69</v>
      </c>
    </row>
    <row r="41">
      <c r="B41" s="2" t="s">
        <v>71</v>
      </c>
      <c r="C41" s="3">
        <f t="shared" si="3"/>
        <v>4.600216014</v>
      </c>
      <c r="D41" s="4">
        <f t="shared" si="4"/>
        <v>4600.216014</v>
      </c>
      <c r="E41" s="2"/>
      <c r="F41" s="2">
        <v>4634.0</v>
      </c>
      <c r="G41" s="2">
        <v>968.6</v>
      </c>
      <c r="H41" s="5">
        <v>0.01</v>
      </c>
      <c r="I41" s="5">
        <v>0.03</v>
      </c>
      <c r="J41" s="2">
        <v>25.0</v>
      </c>
      <c r="K41" s="2" t="s">
        <v>15</v>
      </c>
      <c r="L41" s="2" t="s">
        <v>72</v>
      </c>
    </row>
    <row r="42">
      <c r="B42" s="2" t="s">
        <v>73</v>
      </c>
      <c r="C42" s="3">
        <f t="shared" si="3"/>
        <v>1.216069188</v>
      </c>
      <c r="D42" s="4">
        <f t="shared" si="4"/>
        <v>1216.069188</v>
      </c>
      <c r="E42" s="2"/>
      <c r="F42" s="2">
        <v>1225.0</v>
      </c>
      <c r="G42" s="2">
        <v>968.6</v>
      </c>
      <c r="H42" s="5">
        <v>0.01</v>
      </c>
      <c r="I42" s="5">
        <v>0.03</v>
      </c>
      <c r="J42" s="2">
        <v>4.0</v>
      </c>
      <c r="K42" s="2" t="s">
        <v>15</v>
      </c>
      <c r="L42" s="2" t="s">
        <v>74</v>
      </c>
    </row>
    <row r="43">
      <c r="B43" s="2" t="s">
        <v>75</v>
      </c>
      <c r="C43" s="3">
        <f t="shared" si="3"/>
        <v>2.407320637</v>
      </c>
      <c r="D43" s="4">
        <f t="shared" si="4"/>
        <v>2407.320637</v>
      </c>
      <c r="E43" s="2"/>
      <c r="F43" s="2">
        <v>2425.0</v>
      </c>
      <c r="G43" s="2">
        <v>968.6</v>
      </c>
      <c r="H43" s="5">
        <v>0.01</v>
      </c>
      <c r="I43" s="5">
        <v>0.03</v>
      </c>
      <c r="J43" s="2">
        <v>4.0</v>
      </c>
      <c r="K43" s="2" t="s">
        <v>15</v>
      </c>
      <c r="L43" s="2" t="s">
        <v>74</v>
      </c>
    </row>
    <row r="44">
      <c r="B44" s="2" t="s">
        <v>76</v>
      </c>
      <c r="C44" s="3">
        <f t="shared" si="3"/>
        <v>1.136652425</v>
      </c>
      <c r="D44" s="4">
        <f t="shared" si="4"/>
        <v>1136.652425</v>
      </c>
      <c r="E44" s="2"/>
      <c r="F44" s="2">
        <v>1145.0</v>
      </c>
      <c r="G44" s="2">
        <v>968.6</v>
      </c>
      <c r="H44" s="5">
        <v>0.01</v>
      </c>
      <c r="I44" s="5">
        <v>0.03</v>
      </c>
      <c r="J44" s="2">
        <v>4.0</v>
      </c>
      <c r="K44" s="2"/>
      <c r="L44" s="2" t="s">
        <v>77</v>
      </c>
    </row>
    <row r="45">
      <c r="B45" s="2" t="s">
        <v>78</v>
      </c>
      <c r="C45" s="3">
        <f t="shared" si="3"/>
        <v>2.24947982</v>
      </c>
      <c r="D45" s="4">
        <f t="shared" si="4"/>
        <v>2249.47982</v>
      </c>
      <c r="E45" s="2"/>
      <c r="F45" s="2">
        <v>2266.0</v>
      </c>
      <c r="G45" s="2">
        <v>968.6</v>
      </c>
      <c r="H45" s="5">
        <v>0.01</v>
      </c>
      <c r="I45" s="5">
        <v>0.03</v>
      </c>
      <c r="J45" s="2">
        <v>4.0</v>
      </c>
      <c r="K45" s="2"/>
      <c r="L45" s="2" t="s">
        <v>77</v>
      </c>
    </row>
    <row r="46">
      <c r="B46" s="2" t="s">
        <v>79</v>
      </c>
      <c r="C46" s="3">
        <f t="shared" si="3"/>
        <v>1.022490827</v>
      </c>
      <c r="D46" s="4">
        <f t="shared" si="4"/>
        <v>1022.490827</v>
      </c>
      <c r="E46" s="2"/>
      <c r="F46" s="2">
        <v>1030.0</v>
      </c>
      <c r="G46" s="2">
        <v>968.6</v>
      </c>
      <c r="H46" s="5">
        <v>0.01</v>
      </c>
      <c r="I46" s="5">
        <v>0.03</v>
      </c>
      <c r="J46" s="2">
        <v>4.0</v>
      </c>
      <c r="K46" s="2"/>
      <c r="L46" s="2" t="s">
        <v>80</v>
      </c>
    </row>
    <row r="47">
      <c r="B47" s="2" t="s">
        <v>81</v>
      </c>
      <c r="C47" s="3">
        <f t="shared" si="3"/>
        <v>2.025127464</v>
      </c>
      <c r="D47" s="4">
        <f t="shared" si="4"/>
        <v>2025.127464</v>
      </c>
      <c r="E47" s="2"/>
      <c r="F47" s="2">
        <v>2040.0</v>
      </c>
      <c r="G47" s="2">
        <v>968.6</v>
      </c>
      <c r="H47" s="5">
        <v>0.01</v>
      </c>
      <c r="I47" s="5">
        <v>0.03</v>
      </c>
      <c r="J47" s="2">
        <v>4.0</v>
      </c>
      <c r="K47" s="2"/>
      <c r="L47" s="2" t="s">
        <v>80</v>
      </c>
    </row>
    <row r="48">
      <c r="B48" s="2" t="s">
        <v>82</v>
      </c>
      <c r="C48" s="3">
        <f t="shared" si="3"/>
        <v>0.8646500103</v>
      </c>
      <c r="D48" s="4">
        <f t="shared" si="4"/>
        <v>864.6500103</v>
      </c>
      <c r="E48" s="2"/>
      <c r="F48" s="2">
        <v>871.0</v>
      </c>
      <c r="G48" s="2">
        <v>968.6</v>
      </c>
      <c r="H48" s="5">
        <v>0.01</v>
      </c>
      <c r="I48" s="5">
        <v>0.03</v>
      </c>
      <c r="J48" s="2">
        <v>20.0</v>
      </c>
      <c r="K48" s="2" t="s">
        <v>15</v>
      </c>
      <c r="L48" s="2" t="s">
        <v>83</v>
      </c>
    </row>
    <row r="49">
      <c r="B49" s="2" t="s">
        <v>84</v>
      </c>
      <c r="C49" s="3">
        <f t="shared" si="3"/>
        <v>0.03474483394</v>
      </c>
      <c r="D49" s="4">
        <f t="shared" si="4"/>
        <v>34.74483394</v>
      </c>
      <c r="E49" s="2"/>
      <c r="F49" s="2">
        <v>35.0</v>
      </c>
      <c r="G49" s="2">
        <v>968.6</v>
      </c>
      <c r="H49" s="5">
        <v>0.01</v>
      </c>
      <c r="I49" s="5">
        <v>0.03</v>
      </c>
    </row>
    <row r="50">
      <c r="B50" s="2" t="s">
        <v>85</v>
      </c>
      <c r="C50" s="3">
        <f t="shared" si="3"/>
        <v>1.655801697</v>
      </c>
      <c r="D50" s="4">
        <f t="shared" si="4"/>
        <v>1655.801697</v>
      </c>
      <c r="E50" s="2"/>
      <c r="F50" s="2">
        <v>1684.0</v>
      </c>
      <c r="G50" s="2">
        <v>968.6</v>
      </c>
      <c r="H50" s="5">
        <v>0.02</v>
      </c>
      <c r="I50" s="5">
        <v>0.03</v>
      </c>
      <c r="J50" s="2">
        <v>10.0</v>
      </c>
      <c r="L50" s="2" t="s">
        <v>86</v>
      </c>
    </row>
    <row r="51">
      <c r="B51" s="2" t="s">
        <v>87</v>
      </c>
      <c r="C51" s="3">
        <f t="shared" si="3"/>
        <v>1.811156013</v>
      </c>
      <c r="D51" s="4">
        <f t="shared" si="4"/>
        <v>1811.156013</v>
      </c>
      <c r="E51" s="2"/>
      <c r="F51" s="2">
        <v>1842.0</v>
      </c>
      <c r="G51" s="2">
        <v>968.6</v>
      </c>
      <c r="H51" s="5">
        <v>0.02</v>
      </c>
      <c r="I51" s="5">
        <v>0.03</v>
      </c>
      <c r="J51" s="2">
        <v>10.0</v>
      </c>
    </row>
    <row r="52">
      <c r="B52" s="1" t="s">
        <v>52</v>
      </c>
    </row>
    <row r="53">
      <c r="B53" s="2" t="s">
        <v>88</v>
      </c>
      <c r="C53" s="3">
        <f>F53/(1+H53+I53)/G53</f>
        <v>0.2762947012</v>
      </c>
      <c r="D53" s="4">
        <f>C53*1000</f>
        <v>276.2947012</v>
      </c>
      <c r="E53" s="2"/>
      <c r="F53" s="2">
        <v>281.0</v>
      </c>
      <c r="G53" s="2">
        <v>968.6</v>
      </c>
      <c r="H53" s="5">
        <v>0.02</v>
      </c>
      <c r="I53" s="5">
        <v>0.03</v>
      </c>
      <c r="L53" s="2" t="s">
        <v>89</v>
      </c>
    </row>
    <row r="55">
      <c r="A55" s="1" t="s">
        <v>90</v>
      </c>
      <c r="B55" s="1" t="s">
        <v>13</v>
      </c>
    </row>
    <row r="56">
      <c r="B56" s="2" t="s">
        <v>91</v>
      </c>
      <c r="C56" s="3">
        <f t="shared" ref="C56:C71" si="5">F56/(1+H56+I56)/G56</f>
        <v>0.506281866</v>
      </c>
      <c r="D56" s="4">
        <f t="shared" ref="D56:D71" si="6">C56*1000</f>
        <v>506.281866</v>
      </c>
      <c r="E56" s="2"/>
      <c r="F56" s="2">
        <v>510.0</v>
      </c>
      <c r="G56" s="2">
        <v>968.6</v>
      </c>
      <c r="H56" s="5">
        <v>0.01</v>
      </c>
      <c r="I56" s="5">
        <v>0.03</v>
      </c>
      <c r="J56" s="2"/>
    </row>
    <row r="57">
      <c r="B57" s="2" t="s">
        <v>92</v>
      </c>
      <c r="C57" s="3">
        <f t="shared" si="5"/>
        <v>0.6095236583</v>
      </c>
      <c r="D57" s="4">
        <f t="shared" si="6"/>
        <v>609.5236583</v>
      </c>
      <c r="E57" s="2"/>
      <c r="F57" s="2">
        <v>614.0</v>
      </c>
      <c r="G57" s="2">
        <v>968.6</v>
      </c>
      <c r="H57" s="5">
        <v>0.01</v>
      </c>
      <c r="I57" s="5">
        <v>0.03</v>
      </c>
      <c r="J57" s="2">
        <v>4.0</v>
      </c>
      <c r="K57" s="2" t="s">
        <v>15</v>
      </c>
      <c r="L57" s="2" t="s">
        <v>93</v>
      </c>
    </row>
    <row r="58">
      <c r="B58" s="2" t="s">
        <v>94</v>
      </c>
      <c r="C58" s="3">
        <f t="shared" si="5"/>
        <v>1.208127512</v>
      </c>
      <c r="D58" s="4">
        <f t="shared" si="6"/>
        <v>1208.127512</v>
      </c>
      <c r="E58" s="2"/>
      <c r="F58" s="2">
        <v>1217.0</v>
      </c>
      <c r="G58" s="2">
        <v>968.6</v>
      </c>
      <c r="H58" s="5">
        <v>0.01</v>
      </c>
      <c r="I58" s="5">
        <v>0.03</v>
      </c>
      <c r="J58" s="2">
        <v>4.0</v>
      </c>
      <c r="K58" s="2" t="s">
        <v>15</v>
      </c>
    </row>
    <row r="59">
      <c r="B59" s="2" t="s">
        <v>95</v>
      </c>
      <c r="C59" s="3">
        <f t="shared" si="5"/>
        <v>0.2144252609</v>
      </c>
      <c r="D59" s="4">
        <f t="shared" si="6"/>
        <v>214.4252609</v>
      </c>
      <c r="E59" s="2"/>
      <c r="F59" s="2">
        <v>216.0</v>
      </c>
      <c r="G59" s="2">
        <v>968.6</v>
      </c>
      <c r="H59" s="5">
        <v>0.01</v>
      </c>
      <c r="I59" s="5">
        <v>0.03</v>
      </c>
      <c r="K59" s="2" t="s">
        <v>15</v>
      </c>
      <c r="L59" s="2" t="s">
        <v>96</v>
      </c>
    </row>
    <row r="60">
      <c r="B60" s="2" t="s">
        <v>97</v>
      </c>
      <c r="C60" s="3">
        <f t="shared" si="5"/>
        <v>0.6442684922</v>
      </c>
      <c r="D60" s="4">
        <f t="shared" si="6"/>
        <v>644.2684922</v>
      </c>
      <c r="E60" s="2"/>
      <c r="F60" s="2">
        <v>649.0</v>
      </c>
      <c r="G60" s="2">
        <v>968.6</v>
      </c>
      <c r="H60" s="5">
        <v>0.01</v>
      </c>
      <c r="I60" s="5">
        <v>0.03</v>
      </c>
      <c r="K60" s="2" t="s">
        <v>15</v>
      </c>
    </row>
    <row r="61">
      <c r="B61" s="2" t="s">
        <v>98</v>
      </c>
      <c r="C61" s="3">
        <f t="shared" si="5"/>
        <v>3.679974269</v>
      </c>
      <c r="D61" s="4">
        <f t="shared" si="6"/>
        <v>3679.974269</v>
      </c>
      <c r="E61" s="2"/>
      <c r="F61" s="2">
        <v>3707.0</v>
      </c>
      <c r="G61" s="2">
        <v>968.6</v>
      </c>
      <c r="H61" s="5">
        <v>0.01</v>
      </c>
      <c r="I61" s="5">
        <v>0.03</v>
      </c>
      <c r="J61" s="2">
        <v>25.0</v>
      </c>
      <c r="K61" s="2"/>
      <c r="L61" s="2" t="s">
        <v>99</v>
      </c>
    </row>
    <row r="62">
      <c r="B62" s="2" t="s">
        <v>100</v>
      </c>
      <c r="C62" s="3">
        <f t="shared" si="5"/>
        <v>0.1310376594</v>
      </c>
      <c r="D62" s="4">
        <f t="shared" si="6"/>
        <v>131.0376594</v>
      </c>
      <c r="E62" s="2"/>
      <c r="F62" s="2">
        <v>132.0</v>
      </c>
      <c r="G62" s="2">
        <v>968.6</v>
      </c>
      <c r="H62" s="5">
        <v>0.01</v>
      </c>
      <c r="I62" s="5">
        <v>0.03</v>
      </c>
      <c r="K62" s="2"/>
      <c r="L62" s="2" t="s">
        <v>101</v>
      </c>
    </row>
    <row r="63">
      <c r="B63" s="2" t="s">
        <v>102</v>
      </c>
      <c r="C63" s="3">
        <f t="shared" si="5"/>
        <v>0.1399720453</v>
      </c>
      <c r="D63" s="4">
        <f t="shared" si="6"/>
        <v>139.9720453</v>
      </c>
      <c r="E63" s="2"/>
      <c r="F63" s="2">
        <v>141.0</v>
      </c>
      <c r="G63" s="2">
        <v>968.6</v>
      </c>
      <c r="H63" s="5">
        <v>0.01</v>
      </c>
      <c r="I63" s="5">
        <v>0.03</v>
      </c>
      <c r="K63" s="2"/>
      <c r="L63" s="2" t="s">
        <v>96</v>
      </c>
    </row>
    <row r="64">
      <c r="B64" s="2" t="s">
        <v>103</v>
      </c>
      <c r="C64" s="3">
        <f t="shared" si="5"/>
        <v>1.042345018</v>
      </c>
      <c r="D64" s="4">
        <f t="shared" si="6"/>
        <v>1042.345018</v>
      </c>
      <c r="E64" s="2"/>
      <c r="F64" s="2">
        <v>1050.0</v>
      </c>
      <c r="G64" s="2">
        <v>968.6</v>
      </c>
      <c r="H64" s="5">
        <v>0.01</v>
      </c>
      <c r="I64" s="5">
        <v>0.03</v>
      </c>
      <c r="J64" s="2">
        <v>4.0</v>
      </c>
    </row>
    <row r="65">
      <c r="B65" s="2" t="s">
        <v>104</v>
      </c>
      <c r="C65" s="3">
        <f t="shared" si="5"/>
        <v>2.24947982</v>
      </c>
      <c r="D65" s="4">
        <f t="shared" si="6"/>
        <v>2249.47982</v>
      </c>
      <c r="E65" s="2"/>
      <c r="F65" s="2">
        <v>2266.0</v>
      </c>
      <c r="G65" s="2">
        <v>968.6</v>
      </c>
      <c r="H65" s="5">
        <v>0.01</v>
      </c>
      <c r="I65" s="5">
        <v>0.03</v>
      </c>
      <c r="J65" s="2">
        <v>4.0</v>
      </c>
    </row>
    <row r="66">
      <c r="B66" s="2" t="s">
        <v>105</v>
      </c>
      <c r="C66" s="3">
        <f t="shared" si="5"/>
        <v>0.8666354294</v>
      </c>
      <c r="D66" s="4">
        <f t="shared" si="6"/>
        <v>866.6354294</v>
      </c>
      <c r="E66" s="2"/>
      <c r="F66" s="2">
        <v>873.0</v>
      </c>
      <c r="G66" s="2">
        <v>968.6</v>
      </c>
      <c r="H66" s="5">
        <v>0.01</v>
      </c>
      <c r="I66" s="5">
        <v>0.03</v>
      </c>
      <c r="J66" s="2">
        <v>25.0</v>
      </c>
      <c r="K66" s="2" t="s">
        <v>15</v>
      </c>
      <c r="L66" s="2" t="s">
        <v>106</v>
      </c>
    </row>
    <row r="67">
      <c r="B67" s="2" t="s">
        <v>107</v>
      </c>
      <c r="C67" s="3">
        <f t="shared" si="5"/>
        <v>0.3990692355</v>
      </c>
      <c r="D67" s="4">
        <f t="shared" si="6"/>
        <v>399.0692355</v>
      </c>
      <c r="E67" s="2"/>
      <c r="F67" s="2">
        <v>402.0</v>
      </c>
      <c r="G67" s="2">
        <v>968.6</v>
      </c>
      <c r="H67" s="5">
        <v>0.01</v>
      </c>
      <c r="I67" s="5">
        <v>0.03</v>
      </c>
      <c r="J67" s="2">
        <v>4.0</v>
      </c>
      <c r="K67" s="2" t="s">
        <v>15</v>
      </c>
      <c r="L67" s="2" t="s">
        <v>108</v>
      </c>
    </row>
    <row r="68">
      <c r="B68" s="2" t="s">
        <v>109</v>
      </c>
      <c r="C68" s="3">
        <f t="shared" si="5"/>
        <v>0.7892040852</v>
      </c>
      <c r="D68" s="4">
        <f t="shared" si="6"/>
        <v>789.2040852</v>
      </c>
      <c r="E68" s="2"/>
      <c r="F68" s="2">
        <v>795.0</v>
      </c>
      <c r="G68" s="2">
        <v>968.6</v>
      </c>
      <c r="H68" s="5">
        <v>0.01</v>
      </c>
      <c r="I68" s="5">
        <v>0.03</v>
      </c>
      <c r="J68" s="2">
        <v>4.0</v>
      </c>
      <c r="K68" s="2" t="s">
        <v>15</v>
      </c>
    </row>
    <row r="69">
      <c r="B69" s="2" t="s">
        <v>110</v>
      </c>
      <c r="C69" s="3">
        <f t="shared" si="5"/>
        <v>1.194229578</v>
      </c>
      <c r="D69" s="4">
        <f t="shared" si="6"/>
        <v>1194.229578</v>
      </c>
      <c r="E69" s="2"/>
      <c r="F69" s="2">
        <v>1203.0</v>
      </c>
      <c r="G69" s="2">
        <v>968.6</v>
      </c>
      <c r="H69" s="5">
        <v>0.01</v>
      </c>
      <c r="I69" s="5">
        <v>0.03</v>
      </c>
      <c r="J69" s="2">
        <v>12.0</v>
      </c>
      <c r="K69" s="2"/>
      <c r="L69" s="2" t="s">
        <v>111</v>
      </c>
    </row>
    <row r="70">
      <c r="B70" s="2" t="s">
        <v>112</v>
      </c>
      <c r="C70" s="3">
        <f t="shared" si="5"/>
        <v>2.40136438</v>
      </c>
      <c r="D70" s="4">
        <f t="shared" si="6"/>
        <v>2401.36438</v>
      </c>
      <c r="E70" s="2"/>
      <c r="F70" s="2">
        <v>2419.0</v>
      </c>
      <c r="G70" s="2">
        <v>968.6</v>
      </c>
      <c r="H70" s="5">
        <v>0.01</v>
      </c>
      <c r="I70" s="5">
        <v>0.03</v>
      </c>
    </row>
    <row r="71">
      <c r="B71" s="2" t="s">
        <v>113</v>
      </c>
      <c r="C71" s="3">
        <f t="shared" si="5"/>
        <v>5.796431011</v>
      </c>
      <c r="D71" s="4">
        <f t="shared" si="6"/>
        <v>5796.431011</v>
      </c>
      <c r="E71" s="2"/>
      <c r="F71" s="2">
        <v>5839.0</v>
      </c>
      <c r="G71" s="2">
        <v>968.6</v>
      </c>
      <c r="H71" s="5">
        <v>0.01</v>
      </c>
      <c r="I71" s="5">
        <v>0.03</v>
      </c>
      <c r="J71" s="2">
        <v>20.0</v>
      </c>
      <c r="K71" s="2" t="s">
        <v>15</v>
      </c>
      <c r="L71" s="2" t="s">
        <v>114</v>
      </c>
    </row>
    <row r="72">
      <c r="B72" s="1" t="s">
        <v>52</v>
      </c>
    </row>
    <row r="73">
      <c r="B73" s="2" t="s">
        <v>115</v>
      </c>
      <c r="C73" s="3">
        <f>F73/(1+H73+I73)/G73</f>
        <v>0.09242598547</v>
      </c>
      <c r="D73" s="4">
        <f>C73*1000</f>
        <v>92.42598547</v>
      </c>
      <c r="E73" s="2"/>
      <c r="F73" s="2">
        <v>94.0</v>
      </c>
      <c r="G73" s="2">
        <v>968.6</v>
      </c>
      <c r="H73" s="5">
        <v>0.02</v>
      </c>
      <c r="I73" s="5">
        <v>0.03</v>
      </c>
      <c r="L73" s="2" t="s">
        <v>116</v>
      </c>
    </row>
    <row r="75">
      <c r="A75" s="1" t="s">
        <v>117</v>
      </c>
      <c r="B75" s="1" t="s">
        <v>13</v>
      </c>
    </row>
    <row r="76">
      <c r="B76" s="2" t="s">
        <v>118</v>
      </c>
      <c r="C76" s="3">
        <f t="shared" ref="C76:C96" si="7">F76/(1+H76+I76)/G76</f>
        <v>0.6442684922</v>
      </c>
      <c r="D76" s="4">
        <f t="shared" ref="D76:D92" si="8">C76*1000</f>
        <v>644.2684922</v>
      </c>
      <c r="E76" s="2"/>
      <c r="F76" s="2">
        <v>649.0</v>
      </c>
      <c r="G76" s="2">
        <v>968.6</v>
      </c>
      <c r="H76" s="5">
        <v>0.01</v>
      </c>
      <c r="I76" s="5">
        <v>0.03</v>
      </c>
      <c r="K76" s="2" t="s">
        <v>15</v>
      </c>
    </row>
    <row r="77">
      <c r="B77" s="2" t="s">
        <v>119</v>
      </c>
      <c r="C77" s="3">
        <f t="shared" si="7"/>
        <v>0.5976111438</v>
      </c>
      <c r="D77" s="4">
        <f t="shared" si="8"/>
        <v>597.6111438</v>
      </c>
      <c r="E77" s="2"/>
      <c r="F77" s="2">
        <v>602.0</v>
      </c>
      <c r="G77" s="2">
        <v>968.6</v>
      </c>
      <c r="H77" s="5">
        <v>0.01</v>
      </c>
      <c r="I77" s="5">
        <v>0.03</v>
      </c>
      <c r="K77" s="2" t="s">
        <v>15</v>
      </c>
    </row>
    <row r="78">
      <c r="B78" s="2" t="s">
        <v>120</v>
      </c>
      <c r="C78" s="3">
        <f t="shared" si="7"/>
        <v>1.184302483</v>
      </c>
      <c r="D78" s="4">
        <f t="shared" si="8"/>
        <v>1184.302483</v>
      </c>
      <c r="E78" s="2"/>
      <c r="F78" s="2">
        <v>1193.0</v>
      </c>
      <c r="G78" s="2">
        <v>968.6</v>
      </c>
      <c r="H78" s="5">
        <v>0.01</v>
      </c>
      <c r="I78" s="5">
        <v>0.03</v>
      </c>
      <c r="K78" s="2" t="s">
        <v>15</v>
      </c>
    </row>
    <row r="79">
      <c r="B79" s="2" t="s">
        <v>121</v>
      </c>
      <c r="C79" s="3">
        <f t="shared" si="7"/>
        <v>0.543012119</v>
      </c>
      <c r="D79" s="4">
        <f t="shared" si="8"/>
        <v>543.012119</v>
      </c>
      <c r="E79" s="2"/>
      <c r="F79" s="2">
        <v>547.0</v>
      </c>
      <c r="G79" s="2">
        <v>968.6</v>
      </c>
      <c r="H79" s="5">
        <v>0.01</v>
      </c>
      <c r="I79" s="5">
        <v>0.03</v>
      </c>
      <c r="K79" s="2" t="s">
        <v>15</v>
      </c>
      <c r="L79" s="2" t="s">
        <v>122</v>
      </c>
    </row>
    <row r="80">
      <c r="B80" s="2" t="s">
        <v>123</v>
      </c>
      <c r="C80" s="3">
        <f t="shared" si="7"/>
        <v>0.8150145333</v>
      </c>
      <c r="D80" s="4">
        <f t="shared" si="8"/>
        <v>815.0145333</v>
      </c>
      <c r="E80" s="2"/>
      <c r="F80" s="2">
        <v>821.0</v>
      </c>
      <c r="G80" s="2">
        <v>968.6</v>
      </c>
      <c r="H80" s="5">
        <v>0.01</v>
      </c>
      <c r="I80" s="5">
        <v>0.03</v>
      </c>
      <c r="K80" s="2" t="s">
        <v>15</v>
      </c>
    </row>
    <row r="81">
      <c r="B81" s="2" t="s">
        <v>124</v>
      </c>
      <c r="C81" s="3">
        <f t="shared" si="7"/>
        <v>0.7364581182</v>
      </c>
      <c r="D81" s="4">
        <f t="shared" si="8"/>
        <v>736.4581182</v>
      </c>
      <c r="E81" s="2"/>
      <c r="F81" s="2">
        <v>749.0</v>
      </c>
      <c r="G81" s="2">
        <v>968.6</v>
      </c>
      <c r="H81" s="5">
        <v>0.02</v>
      </c>
      <c r="I81" s="5">
        <v>0.03</v>
      </c>
      <c r="J81" s="2"/>
      <c r="K81" s="2"/>
      <c r="L81" s="2"/>
    </row>
    <row r="82">
      <c r="B82" s="2" t="s">
        <v>125</v>
      </c>
      <c r="C82" s="3">
        <f t="shared" si="7"/>
        <v>1.908498274</v>
      </c>
      <c r="D82" s="4">
        <f t="shared" si="8"/>
        <v>1908.498274</v>
      </c>
      <c r="E82" s="2"/>
      <c r="F82" s="2">
        <v>1941.0</v>
      </c>
      <c r="G82" s="2">
        <v>968.6</v>
      </c>
      <c r="H82" s="5">
        <v>0.02</v>
      </c>
      <c r="I82" s="5">
        <v>0.03</v>
      </c>
      <c r="J82" s="2"/>
      <c r="K82" s="2"/>
      <c r="L82" s="2"/>
    </row>
    <row r="83">
      <c r="B83" s="2" t="s">
        <v>126</v>
      </c>
      <c r="C83" s="3">
        <f t="shared" si="7"/>
        <v>0.1642036125</v>
      </c>
      <c r="D83" s="4">
        <f t="shared" si="8"/>
        <v>164.2036125</v>
      </c>
      <c r="E83" s="2"/>
      <c r="F83" s="2">
        <v>167.0</v>
      </c>
      <c r="G83" s="2">
        <v>968.6</v>
      </c>
      <c r="H83" s="5">
        <v>0.02</v>
      </c>
      <c r="I83" s="5">
        <v>0.03</v>
      </c>
      <c r="J83" s="2"/>
      <c r="K83" s="2"/>
      <c r="L83" s="2" t="s">
        <v>127</v>
      </c>
    </row>
    <row r="84">
      <c r="B84" s="2" t="s">
        <v>128</v>
      </c>
      <c r="C84" s="3">
        <f t="shared" si="7"/>
        <v>4.600216014</v>
      </c>
      <c r="D84" s="4">
        <f t="shared" si="8"/>
        <v>4600.216014</v>
      </c>
      <c r="E84" s="2"/>
      <c r="F84" s="2">
        <v>4634.0</v>
      </c>
      <c r="G84" s="2">
        <v>968.6</v>
      </c>
      <c r="H84" s="5">
        <v>0.01</v>
      </c>
      <c r="I84" s="5">
        <v>0.03</v>
      </c>
      <c r="J84" s="2">
        <v>20.0</v>
      </c>
      <c r="K84" s="2" t="s">
        <v>15</v>
      </c>
      <c r="L84" s="2" t="s">
        <v>129</v>
      </c>
    </row>
    <row r="85">
      <c r="B85" s="2" t="s">
        <v>130</v>
      </c>
      <c r="C85" s="3">
        <f t="shared" si="7"/>
        <v>0.6800060357</v>
      </c>
      <c r="D85" s="4">
        <f t="shared" si="8"/>
        <v>680.0060357</v>
      </c>
      <c r="E85" s="2"/>
      <c r="F85" s="2">
        <v>685.0</v>
      </c>
      <c r="G85" s="2">
        <v>968.6</v>
      </c>
      <c r="H85" s="5">
        <v>0.01</v>
      </c>
      <c r="I85" s="5">
        <v>0.03</v>
      </c>
      <c r="K85" s="2" t="s">
        <v>15</v>
      </c>
    </row>
    <row r="86">
      <c r="B86" s="2" t="s">
        <v>131</v>
      </c>
      <c r="C86" s="3">
        <f t="shared" si="7"/>
        <v>0.5899530987</v>
      </c>
      <c r="D86" s="4">
        <f t="shared" si="8"/>
        <v>589.9530987</v>
      </c>
      <c r="E86" s="2"/>
      <c r="F86" s="2">
        <v>600.0</v>
      </c>
      <c r="G86" s="2">
        <v>968.6</v>
      </c>
      <c r="H86" s="5">
        <v>0.02</v>
      </c>
      <c r="I86" s="5">
        <v>0.03</v>
      </c>
      <c r="J86" s="2">
        <v>20.0</v>
      </c>
      <c r="K86" s="2" t="s">
        <v>15</v>
      </c>
      <c r="L86" s="2" t="s">
        <v>132</v>
      </c>
    </row>
    <row r="87">
      <c r="B87" s="2" t="s">
        <v>133</v>
      </c>
      <c r="C87" s="3">
        <f t="shared" si="7"/>
        <v>3.398129849</v>
      </c>
      <c r="D87" s="4">
        <f t="shared" si="8"/>
        <v>3398.129849</v>
      </c>
      <c r="E87" s="2"/>
      <c r="F87" s="2">
        <v>3456.0</v>
      </c>
      <c r="G87" s="2">
        <v>968.6</v>
      </c>
      <c r="H87" s="5">
        <v>0.02</v>
      </c>
      <c r="I87" s="5">
        <v>0.03</v>
      </c>
      <c r="J87" s="2">
        <v>20.0</v>
      </c>
      <c r="K87" s="2" t="s">
        <v>15</v>
      </c>
    </row>
    <row r="88">
      <c r="B88" s="2" t="s">
        <v>134</v>
      </c>
      <c r="C88" s="3">
        <f t="shared" si="7"/>
        <v>1.196214997</v>
      </c>
      <c r="D88" s="4">
        <f t="shared" si="8"/>
        <v>1196.214997</v>
      </c>
      <c r="E88" s="2"/>
      <c r="F88" s="2">
        <v>1205.0</v>
      </c>
      <c r="G88" s="2">
        <v>968.6</v>
      </c>
      <c r="H88" s="5">
        <v>0.01</v>
      </c>
      <c r="I88" s="5">
        <v>0.03</v>
      </c>
      <c r="K88" s="2" t="s">
        <v>15</v>
      </c>
    </row>
    <row r="89">
      <c r="B89" s="2" t="s">
        <v>135</v>
      </c>
      <c r="C89" s="3">
        <f t="shared" si="7"/>
        <v>2.368604965</v>
      </c>
      <c r="D89" s="4">
        <f t="shared" si="8"/>
        <v>2368.604965</v>
      </c>
      <c r="E89" s="2"/>
      <c r="F89" s="2">
        <v>2386.0</v>
      </c>
      <c r="G89" s="2">
        <v>968.6</v>
      </c>
      <c r="H89" s="5">
        <v>0.01</v>
      </c>
      <c r="I89" s="5">
        <v>0.03</v>
      </c>
      <c r="K89" s="2" t="s">
        <v>15</v>
      </c>
    </row>
    <row r="90">
      <c r="B90" s="2" t="s">
        <v>136</v>
      </c>
      <c r="C90" s="3">
        <f t="shared" si="7"/>
        <v>1.239894217</v>
      </c>
      <c r="D90" s="4">
        <f t="shared" si="8"/>
        <v>1239.894217</v>
      </c>
      <c r="E90" s="2"/>
      <c r="F90" s="2">
        <v>1249.0</v>
      </c>
      <c r="G90" s="2">
        <v>968.6</v>
      </c>
      <c r="H90" s="5">
        <v>0.01</v>
      </c>
      <c r="I90" s="5">
        <v>0.03</v>
      </c>
      <c r="K90" s="2" t="s">
        <v>15</v>
      </c>
    </row>
    <row r="91">
      <c r="B91" s="2" t="s">
        <v>137</v>
      </c>
      <c r="C91" s="3">
        <f t="shared" si="7"/>
        <v>0.07374413734</v>
      </c>
      <c r="D91" s="4">
        <f t="shared" si="8"/>
        <v>73.74413734</v>
      </c>
      <c r="E91" s="2"/>
      <c r="F91" s="2">
        <v>75.0</v>
      </c>
      <c r="G91" s="2">
        <v>968.6</v>
      </c>
      <c r="H91" s="5">
        <v>0.02</v>
      </c>
      <c r="I91" s="5">
        <v>0.03</v>
      </c>
      <c r="J91" s="2"/>
      <c r="L91" s="2" t="s">
        <v>138</v>
      </c>
    </row>
    <row r="92">
      <c r="B92" s="2" t="s">
        <v>139</v>
      </c>
      <c r="C92" s="3">
        <f t="shared" si="7"/>
        <v>4.3699074</v>
      </c>
      <c r="D92" s="4">
        <f t="shared" si="8"/>
        <v>4369.9074</v>
      </c>
      <c r="E92" s="2"/>
      <c r="F92" s="2">
        <v>4402.0</v>
      </c>
      <c r="G92" s="2">
        <v>968.6</v>
      </c>
      <c r="H92" s="5">
        <v>0.01</v>
      </c>
      <c r="I92" s="5">
        <v>0.03</v>
      </c>
      <c r="J92" s="2">
        <v>35.0</v>
      </c>
      <c r="L92" s="2" t="s">
        <v>140</v>
      </c>
    </row>
    <row r="93">
      <c r="B93" s="6" t="s">
        <v>141</v>
      </c>
      <c r="C93" s="3">
        <f t="shared" si="7"/>
        <v>0.3267677813</v>
      </c>
      <c r="F93">
        <v>303.0</v>
      </c>
      <c r="G93">
        <v>891.6</v>
      </c>
      <c r="H93" s="5">
        <v>0.01</v>
      </c>
      <c r="I93" s="5">
        <v>0.03</v>
      </c>
    </row>
    <row r="94">
      <c r="B94" s="6" t="s">
        <v>142</v>
      </c>
      <c r="C94" s="3">
        <f t="shared" si="7"/>
        <v>0.6416727059</v>
      </c>
      <c r="F94">
        <v>595.0</v>
      </c>
      <c r="G94">
        <v>891.6</v>
      </c>
      <c r="H94" s="5">
        <v>0.01</v>
      </c>
      <c r="I94" s="5">
        <v>0.03</v>
      </c>
    </row>
    <row r="95">
      <c r="B95" s="7" t="s">
        <v>143</v>
      </c>
      <c r="C95" s="3">
        <f t="shared" si="7"/>
        <v>0.5942212789</v>
      </c>
      <c r="F95" s="2">
        <v>551.0</v>
      </c>
      <c r="G95" s="2">
        <v>891.6</v>
      </c>
      <c r="H95" s="5">
        <v>0.01</v>
      </c>
      <c r="I95" s="5">
        <v>0.03</v>
      </c>
    </row>
    <row r="96">
      <c r="B96" s="7" t="s">
        <v>144</v>
      </c>
      <c r="C96" s="3">
        <f t="shared" si="7"/>
        <v>1.177658143</v>
      </c>
      <c r="F96" s="2">
        <v>1092.0</v>
      </c>
      <c r="G96" s="2">
        <v>891.6</v>
      </c>
      <c r="H96" s="5">
        <v>0.01</v>
      </c>
      <c r="I96" s="5">
        <v>0.03</v>
      </c>
    </row>
    <row r="97">
      <c r="C97" s="3"/>
    </row>
    <row r="98">
      <c r="C98" s="3"/>
    </row>
    <row r="99">
      <c r="B99" s="1" t="s">
        <v>52</v>
      </c>
    </row>
    <row r="100">
      <c r="B100" s="2" t="s">
        <v>145</v>
      </c>
      <c r="C100" s="3">
        <f t="shared" ref="C100:C106" si="9">F100/(1+H100+I100)/G100</f>
        <v>0.4139598787</v>
      </c>
      <c r="D100" s="4">
        <f t="shared" ref="D100:D106" si="10">C100*1000</f>
        <v>413.9598787</v>
      </c>
      <c r="E100" s="2"/>
      <c r="F100" s="2">
        <v>417.0</v>
      </c>
      <c r="G100" s="2">
        <v>968.6</v>
      </c>
      <c r="H100" s="5">
        <v>0.01</v>
      </c>
      <c r="I100" s="5">
        <v>0.03</v>
      </c>
      <c r="J100" s="2">
        <v>60.0</v>
      </c>
      <c r="K100" s="2" t="s">
        <v>15</v>
      </c>
      <c r="L100" s="2" t="s">
        <v>146</v>
      </c>
    </row>
    <row r="101">
      <c r="B101" s="2" t="s">
        <v>147</v>
      </c>
      <c r="C101" s="3">
        <f t="shared" si="9"/>
        <v>0.5519465049</v>
      </c>
      <c r="D101" s="4">
        <f t="shared" si="10"/>
        <v>551.9465049</v>
      </c>
      <c r="E101" s="2"/>
      <c r="F101" s="2">
        <v>556.0</v>
      </c>
      <c r="G101" s="2">
        <v>968.6</v>
      </c>
      <c r="H101" s="5">
        <v>0.01</v>
      </c>
      <c r="I101" s="5">
        <v>0.03</v>
      </c>
      <c r="K101" s="2"/>
      <c r="L101" s="2" t="s">
        <v>148</v>
      </c>
    </row>
    <row r="102">
      <c r="B102" s="2" t="s">
        <v>149</v>
      </c>
      <c r="C102" s="3">
        <f t="shared" si="9"/>
        <v>0.3682952398</v>
      </c>
      <c r="D102" s="4">
        <f t="shared" si="10"/>
        <v>368.2952398</v>
      </c>
      <c r="E102" s="2"/>
      <c r="F102" s="2">
        <v>371.0</v>
      </c>
      <c r="G102" s="2">
        <v>968.6</v>
      </c>
      <c r="H102" s="5">
        <v>0.01</v>
      </c>
      <c r="I102" s="5">
        <v>0.03</v>
      </c>
      <c r="K102" s="2" t="s">
        <v>15</v>
      </c>
      <c r="L102" s="2" t="s">
        <v>150</v>
      </c>
    </row>
    <row r="103">
      <c r="B103" s="2" t="s">
        <v>151</v>
      </c>
      <c r="C103" s="3">
        <f t="shared" si="9"/>
        <v>0.9202417446</v>
      </c>
      <c r="D103" s="4">
        <f t="shared" si="10"/>
        <v>920.2417446</v>
      </c>
      <c r="E103" s="2"/>
      <c r="F103" s="2">
        <v>927.0</v>
      </c>
      <c r="G103" s="2">
        <v>968.6</v>
      </c>
      <c r="H103" s="5">
        <v>0.01</v>
      </c>
      <c r="I103" s="5">
        <v>0.03</v>
      </c>
      <c r="K103" s="2" t="s">
        <v>15</v>
      </c>
      <c r="L103" s="2" t="s">
        <v>152</v>
      </c>
    </row>
    <row r="104">
      <c r="B104" s="2" t="s">
        <v>153</v>
      </c>
      <c r="C104" s="3">
        <f t="shared" si="9"/>
        <v>0.1360012071</v>
      </c>
      <c r="D104" s="4">
        <f t="shared" si="10"/>
        <v>136.0012071</v>
      </c>
      <c r="E104" s="2"/>
      <c r="F104" s="2">
        <v>137.0</v>
      </c>
      <c r="G104" s="2">
        <v>968.6</v>
      </c>
      <c r="H104" s="5">
        <v>0.01</v>
      </c>
      <c r="I104" s="5">
        <v>0.03</v>
      </c>
    </row>
    <row r="105">
      <c r="B105" s="2" t="s">
        <v>154</v>
      </c>
      <c r="C105" s="3">
        <f t="shared" si="9"/>
        <v>0.2762947012</v>
      </c>
      <c r="D105" s="4">
        <f t="shared" si="10"/>
        <v>276.2947012</v>
      </c>
      <c r="E105" s="2"/>
      <c r="F105" s="2">
        <v>281.0</v>
      </c>
      <c r="G105" s="2">
        <v>968.6</v>
      </c>
      <c r="H105" s="5">
        <v>0.02</v>
      </c>
      <c r="I105" s="5">
        <v>0.03</v>
      </c>
      <c r="L105" s="2" t="s">
        <v>155</v>
      </c>
    </row>
    <row r="106">
      <c r="B106" s="2" t="s">
        <v>156</v>
      </c>
      <c r="C106" s="3">
        <f t="shared" si="9"/>
        <v>0.1396222334</v>
      </c>
      <c r="D106" s="4">
        <f t="shared" si="10"/>
        <v>139.6222334</v>
      </c>
      <c r="E106" s="2"/>
      <c r="F106" s="2">
        <v>142.0</v>
      </c>
      <c r="G106" s="2">
        <v>968.6</v>
      </c>
      <c r="H106" s="5">
        <v>0.02</v>
      </c>
      <c r="I106" s="5">
        <v>0.03</v>
      </c>
      <c r="L106" s="2" t="s">
        <v>157</v>
      </c>
    </row>
    <row r="107">
      <c r="B107" s="2"/>
      <c r="C107" s="3"/>
    </row>
    <row r="108">
      <c r="B108" s="2"/>
      <c r="C108" s="3"/>
    </row>
    <row r="109">
      <c r="B109" s="2"/>
      <c r="C109" s="3"/>
    </row>
    <row r="113">
      <c r="A113" s="1" t="s">
        <v>158</v>
      </c>
      <c r="B113" s="1" t="s">
        <v>13</v>
      </c>
    </row>
    <row r="114">
      <c r="B114" s="2" t="s">
        <v>159</v>
      </c>
      <c r="C114" s="3">
        <f t="shared" ref="C114:C133" si="11">F114/(1+H114+I114)/G114</f>
        <v>0.6442684922</v>
      </c>
      <c r="D114" s="4">
        <f t="shared" ref="D114:D132" si="12">C114*1000</f>
        <v>644.2684922</v>
      </c>
      <c r="E114" s="2"/>
      <c r="F114" s="2">
        <v>649.0</v>
      </c>
      <c r="G114" s="2">
        <v>968.6</v>
      </c>
      <c r="H114" s="5">
        <v>0.01</v>
      </c>
      <c r="I114" s="5">
        <v>0.03</v>
      </c>
      <c r="K114" s="2" t="s">
        <v>15</v>
      </c>
    </row>
    <row r="115">
      <c r="B115" s="2" t="s">
        <v>160</v>
      </c>
      <c r="C115" s="3">
        <f t="shared" si="11"/>
        <v>1.196214997</v>
      </c>
      <c r="D115" s="4">
        <f t="shared" si="12"/>
        <v>1196.214997</v>
      </c>
      <c r="E115" s="2"/>
      <c r="F115" s="2">
        <v>1205.0</v>
      </c>
      <c r="G115" s="2">
        <v>968.6</v>
      </c>
      <c r="H115" s="5">
        <v>0.01</v>
      </c>
      <c r="I115" s="5">
        <v>0.03</v>
      </c>
      <c r="K115" s="2" t="s">
        <v>15</v>
      </c>
      <c r="L115" s="2" t="s">
        <v>60</v>
      </c>
    </row>
    <row r="116">
      <c r="B116" s="2" t="s">
        <v>161</v>
      </c>
      <c r="C116" s="3">
        <f t="shared" si="11"/>
        <v>2.368604965</v>
      </c>
      <c r="D116" s="4">
        <f t="shared" si="12"/>
        <v>2368.604965</v>
      </c>
      <c r="E116" s="2"/>
      <c r="F116" s="2">
        <v>2386.0</v>
      </c>
      <c r="G116" s="2">
        <v>968.6</v>
      </c>
      <c r="H116" s="5">
        <v>0.01</v>
      </c>
      <c r="I116" s="5">
        <v>0.03</v>
      </c>
      <c r="K116" s="2" t="s">
        <v>15</v>
      </c>
    </row>
    <row r="117">
      <c r="B117" s="2" t="s">
        <v>162</v>
      </c>
      <c r="C117" s="3">
        <f t="shared" si="11"/>
        <v>4.600216014</v>
      </c>
      <c r="D117" s="4">
        <f t="shared" si="12"/>
        <v>4600.216014</v>
      </c>
      <c r="E117" s="2"/>
      <c r="F117" s="2">
        <v>4634.0</v>
      </c>
      <c r="G117" s="2">
        <v>968.6</v>
      </c>
      <c r="H117" s="5">
        <v>0.01</v>
      </c>
      <c r="I117" s="5">
        <v>0.03</v>
      </c>
      <c r="J117" s="2">
        <v>25.0</v>
      </c>
      <c r="K117" s="2" t="s">
        <v>15</v>
      </c>
      <c r="L117" s="2" t="s">
        <v>163</v>
      </c>
    </row>
    <row r="118">
      <c r="B118" s="2" t="s">
        <v>164</v>
      </c>
      <c r="C118" s="3">
        <f t="shared" si="11"/>
        <v>0.5976111438</v>
      </c>
      <c r="D118" s="4">
        <f t="shared" si="12"/>
        <v>597.6111438</v>
      </c>
      <c r="E118" s="2"/>
      <c r="F118" s="2">
        <v>602.0</v>
      </c>
      <c r="G118" s="2">
        <v>968.6</v>
      </c>
      <c r="H118" s="5">
        <v>0.01</v>
      </c>
      <c r="I118" s="5">
        <v>0.03</v>
      </c>
      <c r="K118" s="2" t="s">
        <v>15</v>
      </c>
    </row>
    <row r="119">
      <c r="B119" s="2" t="s">
        <v>165</v>
      </c>
      <c r="C119" s="8">
        <f t="shared" si="11"/>
        <v>0.09232198733</v>
      </c>
      <c r="D119" s="9">
        <f t="shared" si="12"/>
        <v>92.32198733</v>
      </c>
      <c r="E119" s="10"/>
      <c r="F119" s="11">
        <v>93.0</v>
      </c>
      <c r="G119" s="12">
        <v>968.6</v>
      </c>
      <c r="H119" s="13">
        <v>0.01</v>
      </c>
      <c r="I119" s="13">
        <v>0.03</v>
      </c>
      <c r="K119" s="2" t="s">
        <v>15</v>
      </c>
    </row>
    <row r="120">
      <c r="B120" s="2" t="s">
        <v>166</v>
      </c>
      <c r="C120" s="3">
        <f t="shared" si="11"/>
        <v>0.73559777</v>
      </c>
      <c r="D120" s="4">
        <f t="shared" si="12"/>
        <v>735.59777</v>
      </c>
      <c r="E120" s="2"/>
      <c r="F120" s="2">
        <v>741.0</v>
      </c>
      <c r="G120" s="2">
        <v>968.6</v>
      </c>
      <c r="H120" s="5">
        <v>0.01</v>
      </c>
      <c r="I120" s="5">
        <v>0.03</v>
      </c>
      <c r="J120" s="2">
        <v>5.0</v>
      </c>
      <c r="K120" s="2"/>
      <c r="L120" s="2" t="s">
        <v>167</v>
      </c>
    </row>
    <row r="121">
      <c r="B121" s="2" t="s">
        <v>168</v>
      </c>
      <c r="C121" s="3">
        <f t="shared" si="11"/>
        <v>1.148564939</v>
      </c>
      <c r="D121" s="4">
        <f t="shared" si="12"/>
        <v>1148.564939</v>
      </c>
      <c r="E121" s="2"/>
      <c r="F121" s="2">
        <v>1157.0</v>
      </c>
      <c r="G121" s="2">
        <v>968.6</v>
      </c>
      <c r="H121" s="5">
        <v>0.01</v>
      </c>
      <c r="I121" s="5">
        <v>0.03</v>
      </c>
      <c r="K121" s="2" t="s">
        <v>15</v>
      </c>
      <c r="L121" s="2" t="s">
        <v>169</v>
      </c>
    </row>
    <row r="122">
      <c r="B122" s="2" t="s">
        <v>170</v>
      </c>
      <c r="C122" s="3">
        <f t="shared" si="11"/>
        <v>2.273304849</v>
      </c>
      <c r="D122" s="4">
        <f t="shared" si="12"/>
        <v>2273.304849</v>
      </c>
      <c r="E122" s="2"/>
      <c r="F122" s="2">
        <v>2290.0</v>
      </c>
      <c r="G122" s="2">
        <v>968.6</v>
      </c>
      <c r="H122" s="5">
        <v>0.01</v>
      </c>
      <c r="I122" s="5">
        <v>0.03</v>
      </c>
      <c r="K122" s="2" t="s">
        <v>15</v>
      </c>
    </row>
    <row r="123">
      <c r="B123" s="2" t="s">
        <v>171</v>
      </c>
      <c r="C123" s="3">
        <f t="shared" si="11"/>
        <v>1.262726536</v>
      </c>
      <c r="D123" s="4">
        <f t="shared" si="12"/>
        <v>1262.726536</v>
      </c>
      <c r="E123" s="2"/>
      <c r="F123" s="2">
        <v>1272.0</v>
      </c>
      <c r="G123" s="2">
        <v>968.6</v>
      </c>
      <c r="H123" s="5">
        <v>0.01</v>
      </c>
      <c r="I123" s="5">
        <v>0.03</v>
      </c>
      <c r="K123" s="2" t="s">
        <v>15</v>
      </c>
    </row>
    <row r="124">
      <c r="B124" s="2" t="s">
        <v>172</v>
      </c>
      <c r="C124" s="3">
        <f t="shared" si="11"/>
        <v>2.500635334</v>
      </c>
      <c r="D124" s="4">
        <f t="shared" si="12"/>
        <v>2500.635334</v>
      </c>
      <c r="E124" s="2"/>
      <c r="F124" s="2">
        <v>2519.0</v>
      </c>
      <c r="G124" s="2">
        <v>968.6</v>
      </c>
      <c r="H124" s="5">
        <v>0.01</v>
      </c>
      <c r="I124" s="5">
        <v>0.03</v>
      </c>
      <c r="K124" s="2" t="s">
        <v>15</v>
      </c>
    </row>
    <row r="125">
      <c r="B125" s="2" t="s">
        <v>173</v>
      </c>
      <c r="C125" s="3">
        <f t="shared" si="11"/>
        <v>4.3699074</v>
      </c>
      <c r="D125" s="4">
        <f t="shared" si="12"/>
        <v>4369.9074</v>
      </c>
      <c r="E125" s="2"/>
      <c r="F125" s="2">
        <v>4402.0</v>
      </c>
      <c r="G125" s="2">
        <v>968.6</v>
      </c>
      <c r="H125" s="5">
        <v>0.01</v>
      </c>
      <c r="I125" s="5">
        <v>0.03</v>
      </c>
      <c r="J125" s="2">
        <v>25.0</v>
      </c>
      <c r="K125" s="2" t="s">
        <v>15</v>
      </c>
      <c r="L125" s="2" t="s">
        <v>174</v>
      </c>
    </row>
    <row r="126">
      <c r="B126" s="2" t="s">
        <v>175</v>
      </c>
      <c r="C126" s="3">
        <f t="shared" si="11"/>
        <v>1.51388205</v>
      </c>
      <c r="D126" s="4">
        <f t="shared" si="12"/>
        <v>1513.88205</v>
      </c>
      <c r="E126" s="2"/>
      <c r="F126" s="2">
        <v>1525.0</v>
      </c>
      <c r="G126" s="2">
        <v>968.6</v>
      </c>
      <c r="H126" s="5">
        <v>0.01</v>
      </c>
      <c r="I126" s="5">
        <v>0.03</v>
      </c>
      <c r="J126" s="2">
        <v>15.0</v>
      </c>
      <c r="K126" s="2" t="s">
        <v>15</v>
      </c>
    </row>
    <row r="127">
      <c r="B127" s="2" t="s">
        <v>176</v>
      </c>
      <c r="C127" s="3">
        <f t="shared" si="11"/>
        <v>1.334201623</v>
      </c>
      <c r="D127" s="4">
        <f t="shared" si="12"/>
        <v>1334.201623</v>
      </c>
      <c r="E127" s="2"/>
      <c r="F127" s="2">
        <v>1344.0</v>
      </c>
      <c r="G127" s="2">
        <v>968.6</v>
      </c>
      <c r="H127" s="5">
        <v>0.01</v>
      </c>
      <c r="I127" s="5">
        <v>0.03</v>
      </c>
      <c r="J127" s="2">
        <v>30.0</v>
      </c>
      <c r="K127" s="2"/>
      <c r="L127" s="2" t="s">
        <v>177</v>
      </c>
    </row>
    <row r="128">
      <c r="B128" s="2" t="s">
        <v>178</v>
      </c>
      <c r="C128" s="3">
        <f t="shared" si="11"/>
        <v>2.658476151</v>
      </c>
      <c r="D128" s="4">
        <f t="shared" si="12"/>
        <v>2658.476151</v>
      </c>
      <c r="E128" s="2"/>
      <c r="F128" s="2">
        <v>2678.0</v>
      </c>
      <c r="G128" s="2">
        <v>968.6</v>
      </c>
      <c r="H128" s="5">
        <v>0.01</v>
      </c>
      <c r="I128" s="5">
        <v>0.03</v>
      </c>
    </row>
    <row r="129">
      <c r="B129" s="2" t="s">
        <v>179</v>
      </c>
      <c r="C129" s="3">
        <f t="shared" si="11"/>
        <v>0.3861640115</v>
      </c>
      <c r="D129" s="4">
        <f t="shared" si="12"/>
        <v>386.1640115</v>
      </c>
      <c r="E129" s="2"/>
      <c r="F129" s="2">
        <v>389.0</v>
      </c>
      <c r="G129" s="2">
        <v>968.6</v>
      </c>
      <c r="H129" s="5">
        <v>0.01</v>
      </c>
      <c r="I129" s="5">
        <v>0.03</v>
      </c>
      <c r="L129" s="2" t="s">
        <v>180</v>
      </c>
    </row>
    <row r="130">
      <c r="B130" s="2" t="s">
        <v>181</v>
      </c>
      <c r="C130" s="3">
        <f t="shared" si="11"/>
        <v>0.2655962936</v>
      </c>
      <c r="D130" s="4">
        <f t="shared" si="12"/>
        <v>265.5962936</v>
      </c>
      <c r="E130" s="2"/>
      <c r="F130" s="2">
        <v>266.0</v>
      </c>
      <c r="G130" s="2">
        <v>963.0</v>
      </c>
      <c r="H130" s="5">
        <v>0.01</v>
      </c>
      <c r="I130" s="5">
        <v>0.03</v>
      </c>
      <c r="J130" s="2">
        <v>20.0</v>
      </c>
      <c r="K130" s="2"/>
      <c r="L130" s="2" t="s">
        <v>182</v>
      </c>
    </row>
    <row r="131">
      <c r="B131" s="2" t="s">
        <v>183</v>
      </c>
      <c r="C131" s="8">
        <f t="shared" si="11"/>
        <v>0.6254070109</v>
      </c>
      <c r="D131" s="9">
        <f t="shared" si="12"/>
        <v>625.4070109</v>
      </c>
      <c r="E131" s="10"/>
      <c r="F131" s="11">
        <v>630.0</v>
      </c>
      <c r="G131" s="12">
        <v>968.6</v>
      </c>
      <c r="H131" s="13">
        <v>0.01</v>
      </c>
      <c r="I131" s="13">
        <v>0.03</v>
      </c>
      <c r="J131" s="2"/>
      <c r="K131" s="2" t="s">
        <v>15</v>
      </c>
      <c r="L131" s="2"/>
    </row>
    <row r="132">
      <c r="B132" s="2" t="s">
        <v>184</v>
      </c>
      <c r="C132" s="8">
        <f t="shared" si="11"/>
        <v>0.73559777</v>
      </c>
      <c r="D132" s="9">
        <f t="shared" si="12"/>
        <v>735.59777</v>
      </c>
      <c r="E132" s="10"/>
      <c r="F132" s="11">
        <v>741.0</v>
      </c>
      <c r="G132" s="12">
        <v>968.6</v>
      </c>
      <c r="H132" s="13">
        <v>0.01</v>
      </c>
      <c r="I132" s="13">
        <v>0.03</v>
      </c>
      <c r="J132" s="2"/>
      <c r="K132" s="2" t="s">
        <v>15</v>
      </c>
      <c r="L132" s="2"/>
    </row>
    <row r="133">
      <c r="B133" s="7" t="s">
        <v>185</v>
      </c>
      <c r="C133" s="8">
        <f t="shared" si="11"/>
        <v>0.6276529661</v>
      </c>
      <c r="D133" s="9"/>
      <c r="E133" s="10"/>
      <c r="F133" s="11">
        <v>582.0</v>
      </c>
      <c r="G133" s="11">
        <v>891.6</v>
      </c>
      <c r="H133" s="13">
        <v>0.01</v>
      </c>
      <c r="I133" s="13">
        <v>0.03</v>
      </c>
      <c r="J133" s="2"/>
      <c r="K133" s="2"/>
      <c r="L133" s="2"/>
    </row>
    <row r="134">
      <c r="B134" s="2"/>
      <c r="C134" s="8"/>
      <c r="D134" s="9"/>
      <c r="E134" s="10"/>
      <c r="F134" s="11"/>
      <c r="G134" s="12"/>
      <c r="H134" s="13"/>
      <c r="I134" s="13"/>
      <c r="J134" s="2"/>
      <c r="K134" s="2"/>
      <c r="L134" s="2"/>
    </row>
    <row r="135">
      <c r="B135" s="2"/>
      <c r="C135" s="8"/>
      <c r="D135" s="9"/>
      <c r="E135" s="10"/>
      <c r="F135" s="11"/>
      <c r="G135" s="12"/>
      <c r="H135" s="13"/>
      <c r="I135" s="13"/>
      <c r="J135" s="2"/>
      <c r="K135" s="2"/>
      <c r="L135" s="2"/>
    </row>
    <row r="136">
      <c r="B136" s="1" t="s">
        <v>52</v>
      </c>
    </row>
    <row r="137">
      <c r="B137" s="2" t="s">
        <v>186</v>
      </c>
      <c r="C137" s="3">
        <f t="shared" ref="C137:C138" si="13">F137/(1+H137+I137)/G137</f>
        <v>0.5519465049</v>
      </c>
      <c r="D137" s="4">
        <f t="shared" ref="D137:D138" si="14">C137*1000</f>
        <v>551.9465049</v>
      </c>
      <c r="E137" s="2"/>
      <c r="F137" s="2">
        <v>556.0</v>
      </c>
      <c r="G137" s="2">
        <v>968.6</v>
      </c>
      <c r="H137" s="5">
        <v>0.01</v>
      </c>
      <c r="I137" s="5">
        <v>0.03</v>
      </c>
      <c r="K137" s="2" t="s">
        <v>15</v>
      </c>
      <c r="L137" s="2" t="s">
        <v>54</v>
      </c>
    </row>
    <row r="138">
      <c r="B138" s="2" t="s">
        <v>187</v>
      </c>
      <c r="C138" s="3">
        <f t="shared" si="13"/>
        <v>0.09242598547</v>
      </c>
      <c r="D138" s="4">
        <f t="shared" si="14"/>
        <v>92.42598547</v>
      </c>
      <c r="E138" s="2"/>
      <c r="F138" s="2">
        <v>94.0</v>
      </c>
      <c r="G138" s="2">
        <v>968.6</v>
      </c>
      <c r="H138" s="5">
        <v>0.02</v>
      </c>
      <c r="I138" s="5">
        <v>0.03</v>
      </c>
      <c r="L138" s="2" t="s">
        <v>188</v>
      </c>
    </row>
    <row r="140">
      <c r="A140" s="1" t="s">
        <v>189</v>
      </c>
      <c r="B140" s="1" t="s">
        <v>13</v>
      </c>
    </row>
    <row r="141">
      <c r="B141" s="2" t="s">
        <v>190</v>
      </c>
      <c r="C141" s="3">
        <f t="shared" ref="C141:C157" si="15">F141/(1+H141+I141)/G141</f>
        <v>0.6442684922</v>
      </c>
      <c r="D141" s="4">
        <f t="shared" ref="D141:D157" si="16">C141*1000</f>
        <v>644.2684922</v>
      </c>
      <c r="E141" s="2"/>
      <c r="F141" s="2">
        <v>649.0</v>
      </c>
      <c r="G141" s="2">
        <v>968.6</v>
      </c>
      <c r="H141" s="5">
        <v>0.01</v>
      </c>
      <c r="I141" s="5">
        <v>0.03</v>
      </c>
      <c r="K141" s="2" t="s">
        <v>15</v>
      </c>
    </row>
    <row r="142">
      <c r="B142" s="2" t="s">
        <v>191</v>
      </c>
      <c r="C142" s="3">
        <f t="shared" si="15"/>
        <v>0.2144252609</v>
      </c>
      <c r="D142" s="4">
        <f t="shared" si="16"/>
        <v>214.4252609</v>
      </c>
      <c r="E142" s="2"/>
      <c r="F142" s="2">
        <v>216.0</v>
      </c>
      <c r="G142" s="2">
        <v>968.6</v>
      </c>
      <c r="H142" s="5">
        <v>0.01</v>
      </c>
      <c r="I142" s="5">
        <v>0.03</v>
      </c>
      <c r="K142" s="2" t="s">
        <v>15</v>
      </c>
      <c r="L142" s="2" t="s">
        <v>108</v>
      </c>
    </row>
    <row r="143">
      <c r="B143" s="2" t="s">
        <v>192</v>
      </c>
      <c r="C143" s="3">
        <f t="shared" si="15"/>
        <v>2.300108007</v>
      </c>
      <c r="D143" s="4">
        <f t="shared" si="16"/>
        <v>2300.108007</v>
      </c>
      <c r="E143" s="2"/>
      <c r="F143" s="2">
        <v>2317.0</v>
      </c>
      <c r="G143" s="2">
        <v>968.6</v>
      </c>
      <c r="H143" s="5">
        <v>0.01</v>
      </c>
      <c r="I143" s="5">
        <v>0.03</v>
      </c>
      <c r="J143" s="2">
        <v>25.0</v>
      </c>
      <c r="K143" s="2" t="s">
        <v>15</v>
      </c>
      <c r="L143" s="2" t="s">
        <v>193</v>
      </c>
    </row>
    <row r="144">
      <c r="B144" s="2" t="s">
        <v>194</v>
      </c>
      <c r="C144" s="3">
        <f t="shared" si="15"/>
        <v>0.2303086135</v>
      </c>
      <c r="D144" s="4">
        <f t="shared" si="16"/>
        <v>230.3086135</v>
      </c>
      <c r="E144" s="2"/>
      <c r="F144" s="2">
        <v>232.0</v>
      </c>
      <c r="G144" s="2">
        <v>968.6</v>
      </c>
      <c r="H144" s="5">
        <v>0.01</v>
      </c>
      <c r="I144" s="5">
        <v>0.03</v>
      </c>
      <c r="K144" s="2" t="s">
        <v>15</v>
      </c>
      <c r="L144" s="2" t="s">
        <v>195</v>
      </c>
    </row>
    <row r="145">
      <c r="B145" s="2" t="s">
        <v>196</v>
      </c>
      <c r="C145" s="3">
        <f t="shared" si="15"/>
        <v>1.16841913</v>
      </c>
      <c r="D145" s="4">
        <f t="shared" si="16"/>
        <v>1168.41913</v>
      </c>
      <c r="E145" s="2"/>
      <c r="F145" s="2">
        <v>1177.0</v>
      </c>
      <c r="G145" s="2">
        <v>968.6</v>
      </c>
      <c r="H145" s="5">
        <v>0.01</v>
      </c>
      <c r="I145" s="5">
        <v>0.03</v>
      </c>
      <c r="K145" s="2" t="s">
        <v>15</v>
      </c>
    </row>
    <row r="146">
      <c r="B146" s="2" t="s">
        <v>197</v>
      </c>
      <c r="C146" s="3">
        <f t="shared" si="15"/>
        <v>2.223669372</v>
      </c>
      <c r="D146" s="4">
        <f t="shared" si="16"/>
        <v>2223.669372</v>
      </c>
      <c r="E146" s="2"/>
      <c r="F146" s="2">
        <v>2240.0</v>
      </c>
      <c r="G146" s="2">
        <v>968.6</v>
      </c>
      <c r="H146" s="5">
        <v>0.01</v>
      </c>
      <c r="I146" s="5">
        <v>0.03</v>
      </c>
      <c r="K146" s="2" t="s">
        <v>15</v>
      </c>
    </row>
    <row r="147">
      <c r="B147" s="2" t="s">
        <v>198</v>
      </c>
      <c r="C147" s="3">
        <f t="shared" si="15"/>
        <v>0.3216378913</v>
      </c>
      <c r="D147" s="4">
        <f t="shared" si="16"/>
        <v>321.6378913</v>
      </c>
      <c r="E147" s="2"/>
      <c r="F147" s="2">
        <v>324.0</v>
      </c>
      <c r="G147" s="2">
        <v>968.6</v>
      </c>
      <c r="H147" s="5">
        <v>0.01</v>
      </c>
      <c r="I147" s="5">
        <v>0.03</v>
      </c>
      <c r="K147" s="2" t="s">
        <v>15</v>
      </c>
      <c r="L147" s="2" t="s">
        <v>199</v>
      </c>
    </row>
    <row r="148">
      <c r="B148" s="2" t="s">
        <v>200</v>
      </c>
      <c r="C148" s="3">
        <f t="shared" si="15"/>
        <v>0.8467812386</v>
      </c>
      <c r="D148" s="4">
        <f t="shared" si="16"/>
        <v>846.7812386</v>
      </c>
      <c r="E148" s="2"/>
      <c r="F148" s="2">
        <v>853.0</v>
      </c>
      <c r="G148" s="2">
        <v>968.6</v>
      </c>
      <c r="H148" s="5">
        <v>0.01</v>
      </c>
      <c r="I148" s="5">
        <v>0.03</v>
      </c>
      <c r="K148" s="2" t="s">
        <v>15</v>
      </c>
    </row>
    <row r="149">
      <c r="B149" s="2" t="s">
        <v>201</v>
      </c>
      <c r="C149" s="3">
        <f t="shared" si="15"/>
        <v>1.901038771</v>
      </c>
      <c r="D149" s="4">
        <f t="shared" si="16"/>
        <v>1901.038771</v>
      </c>
      <c r="E149" s="2"/>
      <c r="F149" s="2">
        <v>1915.0</v>
      </c>
      <c r="G149" s="2">
        <v>968.6</v>
      </c>
      <c r="H149" s="5">
        <v>0.01</v>
      </c>
      <c r="I149" s="5">
        <v>0.03</v>
      </c>
      <c r="K149" s="2" t="s">
        <v>202</v>
      </c>
      <c r="L149" s="2" t="s">
        <v>203</v>
      </c>
    </row>
    <row r="150">
      <c r="B150" s="2" t="s">
        <v>204</v>
      </c>
      <c r="C150" s="3">
        <f t="shared" si="15"/>
        <v>1.097936752</v>
      </c>
      <c r="D150" s="4">
        <f t="shared" si="16"/>
        <v>1097.936752</v>
      </c>
      <c r="E150" s="2"/>
      <c r="F150" s="2">
        <v>1106.0</v>
      </c>
      <c r="G150" s="2">
        <v>968.6</v>
      </c>
      <c r="H150" s="5">
        <v>0.01</v>
      </c>
      <c r="I150" s="5">
        <v>0.03</v>
      </c>
      <c r="K150" s="2" t="s">
        <v>15</v>
      </c>
      <c r="L150" s="2" t="s">
        <v>205</v>
      </c>
    </row>
    <row r="151">
      <c r="B151" s="2" t="s">
        <v>206</v>
      </c>
      <c r="C151" s="3">
        <f t="shared" si="15"/>
        <v>2.089653584</v>
      </c>
      <c r="D151" s="4">
        <f t="shared" si="16"/>
        <v>2089.653584</v>
      </c>
      <c r="E151" s="2"/>
      <c r="F151" s="2">
        <v>2105.0</v>
      </c>
      <c r="G151" s="2">
        <v>968.6</v>
      </c>
      <c r="H151" s="5">
        <v>0.01</v>
      </c>
      <c r="I151" s="5">
        <v>0.03</v>
      </c>
      <c r="K151" s="2" t="s">
        <v>15</v>
      </c>
    </row>
    <row r="152">
      <c r="B152" s="2" t="s">
        <v>207</v>
      </c>
      <c r="C152" s="3">
        <f t="shared" si="15"/>
        <v>0.4328213599</v>
      </c>
      <c r="D152" s="4">
        <f t="shared" si="16"/>
        <v>432.8213599</v>
      </c>
      <c r="E152" s="2"/>
      <c r="F152" s="2">
        <v>436.0</v>
      </c>
      <c r="G152" s="2">
        <v>968.6</v>
      </c>
      <c r="H152" s="5">
        <v>0.01</v>
      </c>
      <c r="I152" s="5">
        <v>0.03</v>
      </c>
      <c r="J152" s="2">
        <v>25.0</v>
      </c>
      <c r="K152" s="2" t="s">
        <v>15</v>
      </c>
      <c r="L152" s="2" t="s">
        <v>208</v>
      </c>
    </row>
    <row r="153">
      <c r="B153" s="2" t="s">
        <v>209</v>
      </c>
      <c r="C153" s="3">
        <f t="shared" si="15"/>
        <v>2.29983383</v>
      </c>
      <c r="D153" s="4">
        <f t="shared" si="16"/>
        <v>2299.83383</v>
      </c>
      <c r="E153" s="2"/>
      <c r="F153" s="2">
        <v>2339.0</v>
      </c>
      <c r="G153" s="2">
        <v>968.6</v>
      </c>
      <c r="H153" s="5">
        <v>0.02</v>
      </c>
      <c r="I153" s="5">
        <v>0.03</v>
      </c>
      <c r="J153" s="2">
        <v>20.0</v>
      </c>
      <c r="K153" s="2" t="s">
        <v>210</v>
      </c>
      <c r="L153" s="2" t="s">
        <v>129</v>
      </c>
    </row>
    <row r="154">
      <c r="B154" s="2" t="s">
        <v>211</v>
      </c>
      <c r="C154" s="3">
        <f t="shared" si="15"/>
        <v>0.2300817085</v>
      </c>
      <c r="D154" s="4">
        <f t="shared" si="16"/>
        <v>230.0817085</v>
      </c>
      <c r="E154" s="2"/>
      <c r="F154" s="2">
        <v>234.0</v>
      </c>
      <c r="G154" s="2">
        <v>968.6</v>
      </c>
      <c r="H154" s="5">
        <v>0.02</v>
      </c>
      <c r="I154" s="5">
        <v>0.03</v>
      </c>
      <c r="K154" s="2"/>
      <c r="L154" s="2" t="s">
        <v>212</v>
      </c>
    </row>
    <row r="155">
      <c r="B155" s="2" t="s">
        <v>213</v>
      </c>
      <c r="C155" s="3">
        <f t="shared" si="15"/>
        <v>3.268123836</v>
      </c>
      <c r="D155" s="4">
        <f t="shared" si="16"/>
        <v>3268.123836</v>
      </c>
      <c r="E155" s="2"/>
      <c r="F155" s="2">
        <v>2706.0</v>
      </c>
      <c r="G155" s="2">
        <v>819.8</v>
      </c>
      <c r="H155" s="5">
        <v>0.01</v>
      </c>
      <c r="I155" s="5">
        <v>0.0</v>
      </c>
      <c r="J155" s="2">
        <v>20.0</v>
      </c>
      <c r="K155" s="2"/>
      <c r="L155" s="2"/>
    </row>
    <row r="156">
      <c r="B156" s="2" t="s">
        <v>214</v>
      </c>
      <c r="C156" s="3">
        <f t="shared" si="15"/>
        <v>0.1050727176</v>
      </c>
      <c r="D156" s="4">
        <f t="shared" si="16"/>
        <v>105.0727176</v>
      </c>
      <c r="E156" s="2"/>
      <c r="F156" s="2">
        <v>87.0</v>
      </c>
      <c r="G156" s="2">
        <v>819.8</v>
      </c>
      <c r="H156" s="5">
        <v>0.01</v>
      </c>
      <c r="I156" s="5">
        <v>0.0</v>
      </c>
      <c r="K156" s="2"/>
      <c r="L156" s="2" t="s">
        <v>215</v>
      </c>
    </row>
    <row r="157">
      <c r="B157" s="2" t="s">
        <v>216</v>
      </c>
      <c r="C157" s="3">
        <f t="shared" si="15"/>
        <v>0.2101454351</v>
      </c>
      <c r="D157" s="4">
        <f t="shared" si="16"/>
        <v>210.1454351</v>
      </c>
      <c r="E157" s="2"/>
      <c r="F157" s="2">
        <v>174.0</v>
      </c>
      <c r="G157" s="2">
        <v>819.8</v>
      </c>
      <c r="H157" s="5">
        <v>0.01</v>
      </c>
      <c r="I157" s="5">
        <v>0.0</v>
      </c>
    </row>
    <row r="159">
      <c r="A159" s="1" t="s">
        <v>217</v>
      </c>
      <c r="B159" s="1" t="s">
        <v>13</v>
      </c>
    </row>
    <row r="160">
      <c r="B160" s="2" t="s">
        <v>218</v>
      </c>
      <c r="C160" s="3">
        <f t="shared" ref="C160:C177" si="17">F160/(1+H160+I160)/G160</f>
        <v>0.6442684922</v>
      </c>
      <c r="D160" s="4">
        <f t="shared" ref="D160:D171" si="18">C160*1000</f>
        <v>644.2684922</v>
      </c>
      <c r="E160" s="2"/>
      <c r="F160" s="2">
        <v>649.0</v>
      </c>
      <c r="G160" s="2">
        <v>968.6</v>
      </c>
      <c r="H160" s="5">
        <v>0.01</v>
      </c>
      <c r="I160" s="5">
        <v>0.03</v>
      </c>
      <c r="K160" s="2" t="s">
        <v>15</v>
      </c>
    </row>
    <row r="161">
      <c r="B161" s="2" t="s">
        <v>219</v>
      </c>
      <c r="C161" s="3">
        <f t="shared" si="17"/>
        <v>1.173382678</v>
      </c>
      <c r="D161" s="4">
        <f t="shared" si="18"/>
        <v>1173.382678</v>
      </c>
      <c r="E161" s="2"/>
      <c r="F161" s="2">
        <v>1182.0</v>
      </c>
      <c r="G161" s="2">
        <v>968.6</v>
      </c>
      <c r="H161" s="5">
        <v>0.01</v>
      </c>
      <c r="I161" s="5">
        <v>0.03</v>
      </c>
      <c r="K161" s="2"/>
      <c r="L161" s="2" t="s">
        <v>220</v>
      </c>
    </row>
    <row r="162">
      <c r="B162" s="2" t="s">
        <v>221</v>
      </c>
      <c r="C162" s="3">
        <f t="shared" si="17"/>
        <v>0.1062199209</v>
      </c>
      <c r="D162" s="4">
        <f t="shared" si="18"/>
        <v>106.2199209</v>
      </c>
      <c r="E162" s="2"/>
      <c r="F162" s="2">
        <v>107.0</v>
      </c>
      <c r="G162" s="2">
        <v>968.6</v>
      </c>
      <c r="H162" s="5">
        <v>0.01</v>
      </c>
      <c r="I162" s="5">
        <v>0.03</v>
      </c>
      <c r="K162" s="2"/>
      <c r="L162" s="2" t="s">
        <v>222</v>
      </c>
    </row>
    <row r="163">
      <c r="B163" s="2" t="s">
        <v>223</v>
      </c>
      <c r="C163" s="3">
        <f t="shared" si="17"/>
        <v>2.500635334</v>
      </c>
      <c r="D163" s="4">
        <f t="shared" si="18"/>
        <v>2500.635334</v>
      </c>
      <c r="E163" s="2"/>
      <c r="F163" s="2">
        <v>2519.0</v>
      </c>
      <c r="G163" s="2">
        <v>968.6</v>
      </c>
      <c r="H163" s="5">
        <v>0.01</v>
      </c>
      <c r="I163" s="5">
        <v>0.03</v>
      </c>
      <c r="K163" s="2"/>
      <c r="L163" s="2" t="s">
        <v>224</v>
      </c>
    </row>
    <row r="164">
      <c r="B164" s="2" t="s">
        <v>225</v>
      </c>
      <c r="C164" s="3">
        <f t="shared" si="17"/>
        <v>4.600216014</v>
      </c>
      <c r="D164" s="4">
        <f t="shared" si="18"/>
        <v>4600.216014</v>
      </c>
      <c r="E164" s="2"/>
      <c r="F164" s="2">
        <v>4634.0</v>
      </c>
      <c r="G164" s="2">
        <v>968.6</v>
      </c>
      <c r="H164" s="5">
        <v>0.01</v>
      </c>
      <c r="I164" s="5">
        <v>0.03</v>
      </c>
      <c r="J164" s="2">
        <v>25.0</v>
      </c>
      <c r="K164" s="2" t="s">
        <v>15</v>
      </c>
      <c r="L164" s="2" t="s">
        <v>226</v>
      </c>
    </row>
    <row r="165">
      <c r="B165" s="2" t="s">
        <v>227</v>
      </c>
      <c r="C165" s="3">
        <f t="shared" si="17"/>
        <v>0.8150145333</v>
      </c>
      <c r="D165" s="4">
        <f t="shared" si="18"/>
        <v>815.0145333</v>
      </c>
      <c r="E165" s="2"/>
      <c r="F165" s="2">
        <v>821.0</v>
      </c>
      <c r="G165" s="2">
        <v>968.6</v>
      </c>
      <c r="H165" s="5">
        <v>0.01</v>
      </c>
      <c r="I165" s="5">
        <v>0.03</v>
      </c>
      <c r="K165" s="2" t="s">
        <v>15</v>
      </c>
      <c r="L165" s="2" t="s">
        <v>228</v>
      </c>
    </row>
    <row r="166">
      <c r="B166" s="2" t="s">
        <v>229</v>
      </c>
      <c r="C166" s="3">
        <f t="shared" si="17"/>
        <v>0.1548626884</v>
      </c>
      <c r="D166" s="4">
        <f t="shared" si="18"/>
        <v>154.8626884</v>
      </c>
      <c r="E166" s="2"/>
      <c r="F166" s="2">
        <v>156.0</v>
      </c>
      <c r="G166" s="2">
        <v>968.6</v>
      </c>
      <c r="H166" s="5">
        <v>0.01</v>
      </c>
      <c r="I166" s="5">
        <v>0.03</v>
      </c>
      <c r="K166" s="2" t="s">
        <v>15</v>
      </c>
      <c r="L166" s="2" t="s">
        <v>230</v>
      </c>
    </row>
    <row r="167">
      <c r="B167" s="2" t="s">
        <v>231</v>
      </c>
      <c r="C167" s="3">
        <f t="shared" si="17"/>
        <v>1.720365635</v>
      </c>
      <c r="D167" s="4">
        <f t="shared" si="18"/>
        <v>1720.365635</v>
      </c>
      <c r="E167" s="2"/>
      <c r="F167" s="2">
        <v>1733.0</v>
      </c>
      <c r="G167" s="2">
        <v>968.6</v>
      </c>
      <c r="H167" s="5">
        <v>0.01</v>
      </c>
      <c r="I167" s="5">
        <v>0.03</v>
      </c>
      <c r="K167" s="2" t="s">
        <v>15</v>
      </c>
    </row>
    <row r="168">
      <c r="B168" s="2" t="s">
        <v>232</v>
      </c>
      <c r="C168" s="3">
        <f t="shared" si="17"/>
        <v>0.8646500103</v>
      </c>
      <c r="D168" s="4">
        <f t="shared" si="18"/>
        <v>864.6500103</v>
      </c>
      <c r="E168" s="2"/>
      <c r="F168" s="2">
        <v>871.0</v>
      </c>
      <c r="G168" s="2">
        <v>968.6</v>
      </c>
      <c r="H168" s="5">
        <v>0.01</v>
      </c>
      <c r="I168" s="5">
        <v>0.03</v>
      </c>
      <c r="J168" s="2">
        <v>20.0</v>
      </c>
      <c r="K168" s="2" t="s">
        <v>15</v>
      </c>
      <c r="L168" s="2" t="s">
        <v>233</v>
      </c>
    </row>
    <row r="169">
      <c r="B169" s="2" t="s">
        <v>234</v>
      </c>
      <c r="C169" s="3">
        <f t="shared" si="17"/>
        <v>0.4591801618</v>
      </c>
      <c r="D169" s="4">
        <f t="shared" si="18"/>
        <v>459.1801618</v>
      </c>
      <c r="E169" s="2"/>
      <c r="F169" s="2">
        <v>467.0</v>
      </c>
      <c r="G169" s="2">
        <v>968.6</v>
      </c>
      <c r="H169" s="5">
        <v>0.02</v>
      </c>
      <c r="I169" s="5">
        <v>0.03</v>
      </c>
      <c r="J169" s="2" t="s">
        <v>235</v>
      </c>
      <c r="K169" s="2" t="s">
        <v>15</v>
      </c>
      <c r="L169" s="2" t="s">
        <v>236</v>
      </c>
    </row>
    <row r="170">
      <c r="B170" s="2" t="s">
        <v>237</v>
      </c>
      <c r="C170" s="3">
        <f t="shared" si="17"/>
        <v>0.2684286599</v>
      </c>
      <c r="D170" s="4">
        <f t="shared" si="18"/>
        <v>268.4286599</v>
      </c>
      <c r="E170" s="2"/>
      <c r="F170" s="2">
        <v>273.0</v>
      </c>
      <c r="G170" s="2">
        <v>968.6</v>
      </c>
      <c r="H170" s="5">
        <v>0.02</v>
      </c>
      <c r="I170" s="5">
        <v>0.03</v>
      </c>
      <c r="J170" s="2">
        <v>40.0</v>
      </c>
      <c r="K170" s="2" t="s">
        <v>15</v>
      </c>
      <c r="L170" s="2" t="s">
        <v>238</v>
      </c>
    </row>
    <row r="171">
      <c r="B171" s="2" t="s">
        <v>239</v>
      </c>
      <c r="C171" s="3">
        <f t="shared" si="17"/>
        <v>0.1248734059</v>
      </c>
      <c r="D171" s="4">
        <f t="shared" si="18"/>
        <v>124.8734059</v>
      </c>
      <c r="E171" s="2"/>
      <c r="F171" s="2">
        <v>127.0</v>
      </c>
      <c r="G171" s="2">
        <v>968.6</v>
      </c>
      <c r="H171" s="5">
        <v>0.02</v>
      </c>
      <c r="I171" s="5">
        <v>0.03</v>
      </c>
      <c r="J171" s="2">
        <v>20.0</v>
      </c>
      <c r="K171" s="2"/>
      <c r="L171" s="2" t="s">
        <v>240</v>
      </c>
    </row>
    <row r="172">
      <c r="B172" s="7" t="s">
        <v>241</v>
      </c>
      <c r="C172" s="3">
        <f t="shared" si="17"/>
        <v>0.3267677813</v>
      </c>
      <c r="D172" s="4"/>
      <c r="E172" s="2"/>
      <c r="F172" s="2">
        <v>303.0</v>
      </c>
      <c r="G172" s="2">
        <v>891.6</v>
      </c>
      <c r="H172" s="5">
        <v>0.01</v>
      </c>
      <c r="I172" s="5">
        <v>0.03</v>
      </c>
      <c r="J172" s="2"/>
      <c r="K172" s="2"/>
      <c r="L172" s="2"/>
    </row>
    <row r="173">
      <c r="B173" s="7" t="s">
        <v>242</v>
      </c>
      <c r="C173" s="3">
        <f t="shared" si="17"/>
        <v>0.9511854229</v>
      </c>
      <c r="D173" s="4"/>
      <c r="E173" s="2"/>
      <c r="F173" s="2">
        <v>882.0</v>
      </c>
      <c r="G173" s="2">
        <v>891.6</v>
      </c>
      <c r="H173" s="5">
        <v>0.01</v>
      </c>
      <c r="I173" s="5">
        <v>0.03</v>
      </c>
      <c r="J173" s="2"/>
      <c r="K173" s="2"/>
      <c r="L173" s="2"/>
    </row>
    <row r="174">
      <c r="B174" s="7" t="s">
        <v>243</v>
      </c>
      <c r="C174" s="3">
        <f t="shared" si="17"/>
        <v>0.7214773786</v>
      </c>
      <c r="D174" s="4"/>
      <c r="E174" s="2"/>
      <c r="F174" s="2">
        <v>669.0</v>
      </c>
      <c r="G174" s="2">
        <v>891.6</v>
      </c>
      <c r="H174" s="5">
        <v>0.01</v>
      </c>
      <c r="I174" s="5">
        <v>0.03</v>
      </c>
      <c r="J174" s="2"/>
      <c r="K174" s="2"/>
      <c r="L174" s="2"/>
    </row>
    <row r="175">
      <c r="B175" s="7" t="s">
        <v>244</v>
      </c>
      <c r="C175" s="3">
        <f t="shared" si="17"/>
        <v>0.08951064637</v>
      </c>
      <c r="D175" s="4"/>
      <c r="E175" s="2"/>
      <c r="F175" s="2">
        <v>83.0</v>
      </c>
      <c r="G175" s="2">
        <v>891.6</v>
      </c>
      <c r="H175" s="5">
        <v>0.01</v>
      </c>
      <c r="I175" s="5">
        <v>0.03</v>
      </c>
      <c r="J175" s="2"/>
      <c r="K175" s="2"/>
      <c r="L175" s="2" t="s">
        <v>245</v>
      </c>
    </row>
    <row r="176">
      <c r="B176" s="7" t="s">
        <v>246</v>
      </c>
      <c r="C176" s="3">
        <f t="shared" si="17"/>
        <v>0.7203989371</v>
      </c>
      <c r="D176" s="4"/>
      <c r="E176" s="2"/>
      <c r="F176" s="2">
        <v>668.0</v>
      </c>
      <c r="G176" s="2">
        <v>891.6</v>
      </c>
      <c r="H176" s="5">
        <v>0.01</v>
      </c>
      <c r="I176" s="5">
        <v>0.03</v>
      </c>
      <c r="J176" s="2"/>
      <c r="K176" s="2"/>
      <c r="L176" s="2"/>
    </row>
    <row r="177">
      <c r="B177" s="7" t="s">
        <v>247</v>
      </c>
      <c r="C177" s="3">
        <f t="shared" si="17"/>
        <v>0.07225558201</v>
      </c>
      <c r="D177" s="4"/>
      <c r="E177" s="2"/>
      <c r="F177" s="2">
        <v>67.0</v>
      </c>
      <c r="G177" s="2">
        <v>891.6</v>
      </c>
      <c r="H177" s="5">
        <v>0.01</v>
      </c>
      <c r="I177" s="5">
        <v>0.03</v>
      </c>
      <c r="J177" s="2"/>
      <c r="K177" s="2"/>
      <c r="L177" s="2" t="s">
        <v>248</v>
      </c>
    </row>
    <row r="178">
      <c r="B178" s="2"/>
      <c r="C178" s="3"/>
      <c r="D178" s="4"/>
      <c r="E178" s="2"/>
      <c r="F178" s="2"/>
      <c r="G178" s="2"/>
      <c r="H178" s="5"/>
      <c r="I178" s="5"/>
      <c r="J178" s="2"/>
      <c r="K178" s="2"/>
      <c r="L178" s="2"/>
    </row>
    <row r="179">
      <c r="B179" s="1" t="s">
        <v>52</v>
      </c>
    </row>
    <row r="180">
      <c r="B180" s="2" t="s">
        <v>249</v>
      </c>
      <c r="C180" s="3">
        <f t="shared" ref="C180:C182" si="19">F180/(1+H180+I180)/G180</f>
        <v>0.2759732524</v>
      </c>
      <c r="D180" s="4">
        <f t="shared" ref="D180:D182" si="20">C180*1000</f>
        <v>275.9732524</v>
      </c>
      <c r="E180" s="2"/>
      <c r="F180" s="2">
        <v>278.0</v>
      </c>
      <c r="G180" s="2">
        <v>968.6</v>
      </c>
      <c r="H180" s="5">
        <v>0.01</v>
      </c>
      <c r="I180" s="5">
        <v>0.03</v>
      </c>
      <c r="K180" s="2"/>
      <c r="L180" s="2" t="s">
        <v>250</v>
      </c>
    </row>
    <row r="181">
      <c r="B181" s="2" t="s">
        <v>251</v>
      </c>
      <c r="C181" s="3">
        <f t="shared" si="19"/>
        <v>0.1836512651</v>
      </c>
      <c r="D181" s="4">
        <f t="shared" si="20"/>
        <v>183.6512651</v>
      </c>
      <c r="E181" s="2"/>
      <c r="F181" s="2">
        <v>185.0</v>
      </c>
      <c r="G181" s="2">
        <v>968.6</v>
      </c>
      <c r="H181" s="5">
        <v>0.01</v>
      </c>
      <c r="I181" s="5">
        <v>0.03</v>
      </c>
    </row>
    <row r="182">
      <c r="B182" s="2" t="s">
        <v>252</v>
      </c>
      <c r="C182" s="3">
        <f t="shared" si="19"/>
        <v>0.3038258458</v>
      </c>
      <c r="D182" s="4">
        <f t="shared" si="20"/>
        <v>303.8258458</v>
      </c>
      <c r="E182" s="2"/>
      <c r="F182" s="2">
        <v>309.0</v>
      </c>
      <c r="G182" s="2">
        <v>968.6</v>
      </c>
      <c r="H182" s="5">
        <v>0.02</v>
      </c>
      <c r="I182" s="5">
        <v>0.03</v>
      </c>
      <c r="K182" s="2" t="s">
        <v>15</v>
      </c>
      <c r="L182" s="2" t="s">
        <v>253</v>
      </c>
    </row>
    <row r="183">
      <c r="B183" s="2" t="s">
        <v>254</v>
      </c>
      <c r="K183" s="2" t="s">
        <v>15</v>
      </c>
      <c r="L183" s="2" t="s">
        <v>255</v>
      </c>
    </row>
    <row r="184">
      <c r="B184" s="2" t="s">
        <v>256</v>
      </c>
      <c r="C184" s="3">
        <f>F184/(1+H184+I184)/G184</f>
        <v>0.1101245784</v>
      </c>
      <c r="D184" s="4">
        <f>C184*1000</f>
        <v>110.1245784</v>
      </c>
      <c r="E184" s="2"/>
      <c r="F184" s="2">
        <v>112.0</v>
      </c>
      <c r="G184" s="2">
        <v>968.6</v>
      </c>
      <c r="H184" s="5">
        <v>0.02</v>
      </c>
      <c r="I184" s="5">
        <v>0.03</v>
      </c>
      <c r="L184" s="2" t="s">
        <v>257</v>
      </c>
    </row>
    <row r="186">
      <c r="A186" s="1" t="s">
        <v>258</v>
      </c>
      <c r="B186" s="1" t="s">
        <v>13</v>
      </c>
    </row>
    <row r="187">
      <c r="B187" s="2" t="s">
        <v>259</v>
      </c>
      <c r="C187" s="3">
        <f t="shared" ref="C187:C212" si="21">F187/(1+H187+I187)/G187</f>
        <v>0.6442684922</v>
      </c>
      <c r="D187" s="4">
        <f t="shared" ref="D187:D209" si="22">C187*1000</f>
        <v>644.2684922</v>
      </c>
      <c r="E187" s="2"/>
      <c r="F187" s="2">
        <v>649.0</v>
      </c>
      <c r="G187" s="2">
        <v>968.6</v>
      </c>
      <c r="H187" s="5">
        <v>0.01</v>
      </c>
      <c r="I187" s="5">
        <v>0.03</v>
      </c>
      <c r="K187" s="2" t="s">
        <v>15</v>
      </c>
      <c r="L187" s="2" t="s">
        <v>260</v>
      </c>
    </row>
    <row r="188">
      <c r="B188" s="2" t="s">
        <v>261</v>
      </c>
      <c r="C188" s="3">
        <f t="shared" si="21"/>
        <v>0.9202417446</v>
      </c>
      <c r="D188" s="4">
        <f t="shared" si="22"/>
        <v>920.2417446</v>
      </c>
      <c r="E188" s="2"/>
      <c r="F188" s="2">
        <v>927.0</v>
      </c>
      <c r="G188" s="2">
        <v>968.6</v>
      </c>
      <c r="H188" s="5">
        <v>0.01</v>
      </c>
      <c r="I188" s="5">
        <v>0.03</v>
      </c>
      <c r="K188" s="2" t="s">
        <v>15</v>
      </c>
      <c r="L188" s="2" t="s">
        <v>262</v>
      </c>
    </row>
    <row r="189">
      <c r="B189" s="2" t="s">
        <v>263</v>
      </c>
      <c r="C189" s="3">
        <f t="shared" si="21"/>
        <v>0.289871186</v>
      </c>
      <c r="D189" s="4">
        <f t="shared" si="22"/>
        <v>289.871186</v>
      </c>
      <c r="E189" s="2"/>
      <c r="F189" s="2">
        <v>292.0</v>
      </c>
      <c r="G189" s="2">
        <v>968.6</v>
      </c>
      <c r="H189" s="5">
        <v>0.01</v>
      </c>
      <c r="I189" s="5">
        <v>0.03</v>
      </c>
      <c r="K189" s="2" t="s">
        <v>15</v>
      </c>
    </row>
    <row r="190">
      <c r="B190" s="2" t="s">
        <v>264</v>
      </c>
      <c r="C190" s="3">
        <f t="shared" si="21"/>
        <v>0.3127035055</v>
      </c>
      <c r="D190" s="4">
        <f t="shared" si="22"/>
        <v>312.7035055</v>
      </c>
      <c r="E190" s="2"/>
      <c r="F190" s="2">
        <v>315.0</v>
      </c>
      <c r="G190" s="2">
        <v>968.6</v>
      </c>
      <c r="H190" s="5">
        <v>0.01</v>
      </c>
      <c r="I190" s="5">
        <v>0.03</v>
      </c>
      <c r="K190" s="2" t="s">
        <v>15</v>
      </c>
    </row>
    <row r="191">
      <c r="B191" s="2" t="s">
        <v>265</v>
      </c>
      <c r="C191" s="3">
        <f t="shared" si="21"/>
        <v>1.111834686</v>
      </c>
      <c r="D191" s="4">
        <f t="shared" si="22"/>
        <v>1111.834686</v>
      </c>
      <c r="E191" s="2"/>
      <c r="F191" s="2">
        <v>1120.0</v>
      </c>
      <c r="G191" s="2">
        <v>968.6</v>
      </c>
      <c r="H191" s="5">
        <v>0.01</v>
      </c>
      <c r="I191" s="5">
        <v>0.03</v>
      </c>
      <c r="K191" s="2" t="s">
        <v>15</v>
      </c>
    </row>
    <row r="192">
      <c r="B192" s="2" t="s">
        <v>266</v>
      </c>
      <c r="C192" s="3">
        <f t="shared" si="21"/>
        <v>2.202822472</v>
      </c>
      <c r="D192" s="4">
        <f t="shared" si="22"/>
        <v>2202.822472</v>
      </c>
      <c r="E192" s="2"/>
      <c r="F192" s="2">
        <v>2219.0</v>
      </c>
      <c r="G192" s="2">
        <v>968.6</v>
      </c>
      <c r="H192" s="5">
        <v>0.01</v>
      </c>
      <c r="I192" s="5">
        <v>0.03</v>
      </c>
      <c r="K192" s="2" t="s">
        <v>15</v>
      </c>
    </row>
    <row r="193">
      <c r="B193" s="2" t="s">
        <v>267</v>
      </c>
      <c r="C193" s="3">
        <f t="shared" si="21"/>
        <v>1.375895424</v>
      </c>
      <c r="D193" s="4">
        <f t="shared" si="22"/>
        <v>1375.895424</v>
      </c>
      <c r="E193" s="2"/>
      <c r="F193" s="2">
        <v>1386.0</v>
      </c>
      <c r="G193" s="2">
        <v>968.6</v>
      </c>
      <c r="H193" s="5">
        <v>0.01</v>
      </c>
      <c r="I193" s="5">
        <v>0.03</v>
      </c>
      <c r="K193" s="2" t="s">
        <v>15</v>
      </c>
      <c r="L193" s="2" t="s">
        <v>268</v>
      </c>
    </row>
    <row r="194">
      <c r="B194" s="2" t="s">
        <v>269</v>
      </c>
      <c r="C194" s="3">
        <f t="shared" si="21"/>
        <v>2.723994981</v>
      </c>
      <c r="D194" s="4">
        <f t="shared" si="22"/>
        <v>2723.994981</v>
      </c>
      <c r="E194" s="2"/>
      <c r="F194" s="2">
        <v>2744.0</v>
      </c>
      <c r="G194" s="2">
        <v>968.6</v>
      </c>
      <c r="H194" s="5">
        <v>0.01</v>
      </c>
      <c r="I194" s="5">
        <v>0.03</v>
      </c>
      <c r="K194" s="2" t="s">
        <v>15</v>
      </c>
    </row>
    <row r="195">
      <c r="B195" s="2" t="s">
        <v>270</v>
      </c>
      <c r="C195" s="3">
        <f t="shared" si="21"/>
        <v>3.910282883</v>
      </c>
      <c r="D195" s="4">
        <f t="shared" si="22"/>
        <v>3910.282883</v>
      </c>
      <c r="E195" s="2"/>
      <c r="F195" s="2">
        <v>3939.0</v>
      </c>
      <c r="G195" s="2">
        <v>968.6</v>
      </c>
      <c r="H195" s="5">
        <v>0.01</v>
      </c>
      <c r="I195" s="5">
        <v>0.03</v>
      </c>
      <c r="J195" s="2">
        <v>25.0</v>
      </c>
      <c r="K195" s="2" t="s">
        <v>15</v>
      </c>
    </row>
    <row r="196">
      <c r="B196" s="2" t="s">
        <v>271</v>
      </c>
      <c r="C196" s="3">
        <f t="shared" si="21"/>
        <v>1.149557649</v>
      </c>
      <c r="D196" s="4">
        <f t="shared" si="22"/>
        <v>1149.557649</v>
      </c>
      <c r="E196" s="2"/>
      <c r="F196" s="2">
        <v>1158.0</v>
      </c>
      <c r="G196" s="2">
        <v>968.6</v>
      </c>
      <c r="H196" s="5">
        <v>0.01</v>
      </c>
      <c r="I196" s="5">
        <v>0.03</v>
      </c>
      <c r="J196" s="2">
        <v>10.0</v>
      </c>
      <c r="K196" s="2" t="s">
        <v>15</v>
      </c>
    </row>
    <row r="197">
      <c r="B197" s="2" t="s">
        <v>272</v>
      </c>
      <c r="C197" s="3">
        <f t="shared" si="21"/>
        <v>0.2779586715</v>
      </c>
      <c r="D197" s="4">
        <f t="shared" si="22"/>
        <v>277.9586715</v>
      </c>
      <c r="E197" s="2"/>
      <c r="F197" s="2">
        <v>280.0</v>
      </c>
      <c r="G197" s="2">
        <v>968.6</v>
      </c>
      <c r="H197" s="5">
        <v>0.01</v>
      </c>
      <c r="I197" s="5">
        <v>0.03</v>
      </c>
      <c r="K197" s="2" t="s">
        <v>15</v>
      </c>
      <c r="L197" s="2" t="s">
        <v>273</v>
      </c>
    </row>
    <row r="198">
      <c r="B198" s="2" t="s">
        <v>274</v>
      </c>
      <c r="C198" s="3">
        <f t="shared" si="21"/>
        <v>0.4487047126</v>
      </c>
      <c r="D198" s="4">
        <f t="shared" si="22"/>
        <v>448.7047126</v>
      </c>
      <c r="E198" s="2"/>
      <c r="F198" s="2">
        <v>452.0</v>
      </c>
      <c r="G198" s="2">
        <v>968.6</v>
      </c>
      <c r="H198" s="5">
        <v>0.01</v>
      </c>
      <c r="I198" s="5">
        <v>0.03</v>
      </c>
      <c r="K198" s="2" t="s">
        <v>15</v>
      </c>
      <c r="L198" s="2" t="s">
        <v>275</v>
      </c>
    </row>
    <row r="199">
      <c r="B199" s="2" t="s">
        <v>276</v>
      </c>
      <c r="C199" s="3">
        <f t="shared" si="21"/>
        <v>1.149557649</v>
      </c>
      <c r="D199" s="4">
        <f t="shared" si="22"/>
        <v>1149.557649</v>
      </c>
      <c r="E199" s="2"/>
      <c r="F199" s="2">
        <v>1158.0</v>
      </c>
      <c r="G199" s="2">
        <v>968.6</v>
      </c>
      <c r="H199" s="5">
        <v>0.01</v>
      </c>
      <c r="I199" s="5">
        <v>0.03</v>
      </c>
      <c r="K199" s="2" t="s">
        <v>15</v>
      </c>
      <c r="L199" s="2" t="s">
        <v>277</v>
      </c>
    </row>
    <row r="200">
      <c r="B200" s="2" t="s">
        <v>278</v>
      </c>
      <c r="C200" s="3">
        <f t="shared" si="21"/>
        <v>2.321947617</v>
      </c>
      <c r="D200" s="4">
        <f t="shared" si="22"/>
        <v>2321.947617</v>
      </c>
      <c r="E200" s="2"/>
      <c r="F200" s="2">
        <v>2339.0</v>
      </c>
      <c r="G200" s="2">
        <v>968.6</v>
      </c>
      <c r="H200" s="5">
        <v>0.01</v>
      </c>
      <c r="I200" s="5">
        <v>0.03</v>
      </c>
      <c r="K200" s="2" t="s">
        <v>15</v>
      </c>
    </row>
    <row r="201">
      <c r="B201" s="2" t="s">
        <v>279</v>
      </c>
      <c r="C201" s="3">
        <f t="shared" si="21"/>
        <v>2.015200368</v>
      </c>
      <c r="D201" s="4">
        <f t="shared" si="22"/>
        <v>2015.200368</v>
      </c>
      <c r="E201" s="2"/>
      <c r="F201" s="2">
        <v>2030.0</v>
      </c>
      <c r="G201" s="2">
        <v>968.6</v>
      </c>
      <c r="H201" s="5">
        <v>0.01</v>
      </c>
      <c r="I201" s="5">
        <v>0.03</v>
      </c>
      <c r="J201" s="2">
        <v>20.0</v>
      </c>
      <c r="K201" s="2" t="s">
        <v>15</v>
      </c>
      <c r="L201" s="2" t="s">
        <v>280</v>
      </c>
    </row>
    <row r="202">
      <c r="B202" s="2" t="s">
        <v>281</v>
      </c>
      <c r="C202" s="3">
        <f t="shared" si="21"/>
        <v>2.857018059</v>
      </c>
      <c r="D202" s="4">
        <f t="shared" si="22"/>
        <v>2857.018059</v>
      </c>
      <c r="E202" s="2"/>
      <c r="F202" s="2">
        <v>2878.0</v>
      </c>
      <c r="G202" s="2">
        <v>968.6</v>
      </c>
      <c r="H202" s="5">
        <v>0.01</v>
      </c>
      <c r="I202" s="5">
        <v>0.03</v>
      </c>
      <c r="J202" s="2">
        <v>20.0</v>
      </c>
      <c r="K202" s="2" t="s">
        <v>15</v>
      </c>
    </row>
    <row r="203">
      <c r="B203" s="2" t="s">
        <v>282</v>
      </c>
      <c r="C203" s="3">
        <f t="shared" si="21"/>
        <v>3.679974269</v>
      </c>
      <c r="D203" s="4">
        <f t="shared" si="22"/>
        <v>3679.974269</v>
      </c>
      <c r="E203" s="2"/>
      <c r="F203" s="2">
        <v>3707.0</v>
      </c>
      <c r="G203" s="2">
        <v>968.6</v>
      </c>
      <c r="H203" s="5">
        <v>0.01</v>
      </c>
      <c r="I203" s="5">
        <v>0.03</v>
      </c>
      <c r="J203" s="2">
        <v>25.0</v>
      </c>
      <c r="K203" s="2" t="s">
        <v>15</v>
      </c>
      <c r="L203" s="2" t="s">
        <v>283</v>
      </c>
    </row>
    <row r="204">
      <c r="B204" s="2" t="s">
        <v>284</v>
      </c>
      <c r="C204" s="3">
        <f t="shared" si="21"/>
        <v>0.1836512651</v>
      </c>
      <c r="D204" s="4">
        <f t="shared" si="22"/>
        <v>183.6512651</v>
      </c>
      <c r="E204" s="2"/>
      <c r="F204" s="2">
        <v>185.0</v>
      </c>
      <c r="G204" s="2">
        <v>968.6</v>
      </c>
      <c r="H204" s="5">
        <v>0.01</v>
      </c>
      <c r="I204" s="5">
        <v>0.03</v>
      </c>
      <c r="K204" s="2" t="s">
        <v>15</v>
      </c>
      <c r="L204" s="2" t="s">
        <v>195</v>
      </c>
    </row>
    <row r="205">
      <c r="B205" s="2" t="s">
        <v>285</v>
      </c>
      <c r="C205" s="3">
        <f t="shared" si="21"/>
        <v>0.2064835846</v>
      </c>
      <c r="D205" s="4">
        <f t="shared" si="22"/>
        <v>206.4835846</v>
      </c>
      <c r="E205" s="2"/>
      <c r="F205" s="2">
        <v>208.0</v>
      </c>
      <c r="G205" s="2">
        <v>968.6</v>
      </c>
      <c r="H205" s="5">
        <v>0.01</v>
      </c>
      <c r="I205" s="5">
        <v>0.03</v>
      </c>
      <c r="K205" s="2" t="s">
        <v>15</v>
      </c>
      <c r="L205" s="2" t="s">
        <v>108</v>
      </c>
    </row>
    <row r="206">
      <c r="B206" s="2" t="s">
        <v>286</v>
      </c>
      <c r="C206" s="3">
        <f t="shared" si="21"/>
        <v>1.196214997</v>
      </c>
      <c r="D206" s="4">
        <f t="shared" si="22"/>
        <v>1196.214997</v>
      </c>
      <c r="E206" s="2"/>
      <c r="F206" s="2">
        <v>1205.0</v>
      </c>
      <c r="G206" s="2">
        <v>968.6</v>
      </c>
      <c r="H206" s="5">
        <v>0.01</v>
      </c>
      <c r="I206" s="5">
        <v>0.03</v>
      </c>
      <c r="K206" s="2" t="s">
        <v>15</v>
      </c>
    </row>
    <row r="207">
      <c r="B207" s="2" t="s">
        <v>287</v>
      </c>
      <c r="C207" s="3">
        <f t="shared" si="21"/>
        <v>2.368604965</v>
      </c>
      <c r="D207" s="4">
        <f t="shared" si="22"/>
        <v>2368.604965</v>
      </c>
      <c r="E207" s="2"/>
      <c r="F207" s="2">
        <v>2386.0</v>
      </c>
      <c r="G207" s="2">
        <v>968.6</v>
      </c>
      <c r="H207" s="5">
        <v>0.01</v>
      </c>
      <c r="I207" s="5">
        <v>0.03</v>
      </c>
      <c r="K207" s="2" t="s">
        <v>15</v>
      </c>
    </row>
    <row r="208">
      <c r="B208" s="2" t="s">
        <v>288</v>
      </c>
      <c r="C208" s="3">
        <f t="shared" si="21"/>
        <v>2.33683826</v>
      </c>
      <c r="D208" s="4">
        <f t="shared" si="22"/>
        <v>2336.83826</v>
      </c>
      <c r="E208" s="2"/>
      <c r="F208" s="2">
        <v>2354.0</v>
      </c>
      <c r="G208" s="2">
        <v>968.6</v>
      </c>
      <c r="H208" s="5">
        <v>0.01</v>
      </c>
      <c r="I208" s="5">
        <v>0.03</v>
      </c>
      <c r="J208" s="2">
        <v>25.0</v>
      </c>
      <c r="K208" s="2" t="s">
        <v>15</v>
      </c>
      <c r="L208" s="2" t="s">
        <v>289</v>
      </c>
    </row>
    <row r="209">
      <c r="B209" s="2" t="s">
        <v>290</v>
      </c>
      <c r="C209" s="3">
        <f t="shared" si="21"/>
        <v>1.207134802</v>
      </c>
      <c r="D209" s="4">
        <f t="shared" si="22"/>
        <v>1207.134802</v>
      </c>
      <c r="E209" s="2"/>
      <c r="F209" s="2">
        <v>1216.0</v>
      </c>
      <c r="G209" s="2">
        <v>968.6</v>
      </c>
      <c r="H209" s="5">
        <v>0.01</v>
      </c>
      <c r="I209" s="5">
        <v>0.03</v>
      </c>
      <c r="J209" s="2">
        <v>35.0</v>
      </c>
      <c r="K209" s="2" t="s">
        <v>15</v>
      </c>
      <c r="L209" s="2"/>
    </row>
    <row r="210">
      <c r="B210" s="7" t="s">
        <v>291</v>
      </c>
      <c r="C210" s="3">
        <f t="shared" si="21"/>
        <v>0.3267677813</v>
      </c>
      <c r="D210" s="4"/>
      <c r="E210" s="2"/>
      <c r="F210" s="2">
        <v>303.0</v>
      </c>
      <c r="G210" s="2">
        <v>891.6</v>
      </c>
      <c r="H210" s="5">
        <v>0.01</v>
      </c>
      <c r="I210" s="5">
        <v>0.03</v>
      </c>
      <c r="J210" s="2"/>
      <c r="K210" s="2"/>
      <c r="L210" s="2"/>
    </row>
    <row r="211">
      <c r="B211" s="7" t="s">
        <v>292</v>
      </c>
      <c r="C211" s="3">
        <f t="shared" si="21"/>
        <v>0.5456914104</v>
      </c>
      <c r="D211" s="4"/>
      <c r="E211" s="2"/>
      <c r="F211" s="2">
        <v>506.0</v>
      </c>
      <c r="G211" s="2">
        <v>891.6</v>
      </c>
      <c r="H211" s="5">
        <v>0.01</v>
      </c>
      <c r="I211" s="5">
        <v>0.03</v>
      </c>
      <c r="J211" s="2"/>
      <c r="K211" s="2"/>
      <c r="L211" s="2"/>
    </row>
    <row r="212">
      <c r="B212" s="7" t="s">
        <v>293</v>
      </c>
      <c r="C212" s="3">
        <f t="shared" si="21"/>
        <v>1.080598406</v>
      </c>
      <c r="F212" s="2">
        <v>1002.0</v>
      </c>
      <c r="G212" s="2">
        <v>891.6</v>
      </c>
      <c r="H212" s="5">
        <v>0.01</v>
      </c>
      <c r="I212" s="5">
        <v>0.03</v>
      </c>
    </row>
    <row r="213">
      <c r="B213" s="1"/>
    </row>
    <row r="214">
      <c r="B214" s="1"/>
    </row>
    <row r="215">
      <c r="B215" s="1" t="s">
        <v>52</v>
      </c>
    </row>
    <row r="216">
      <c r="B216" s="2" t="s">
        <v>294</v>
      </c>
      <c r="C216" s="3">
        <f t="shared" ref="C216:C220" si="23">F216/(1+H216+I216)/G216</f>
        <v>0.2789513811</v>
      </c>
      <c r="D216" s="4">
        <f t="shared" ref="D216:D220" si="24">C216*1000</f>
        <v>278.9513811</v>
      </c>
      <c r="E216" s="2"/>
      <c r="F216" s="2">
        <v>281.0</v>
      </c>
      <c r="G216" s="2">
        <v>968.6</v>
      </c>
      <c r="H216" s="5">
        <v>0.01</v>
      </c>
      <c r="I216" s="5">
        <v>0.03</v>
      </c>
      <c r="K216" s="2" t="s">
        <v>15</v>
      </c>
      <c r="L216" s="2" t="s">
        <v>295</v>
      </c>
    </row>
    <row r="217">
      <c r="B217" s="2" t="s">
        <v>296</v>
      </c>
      <c r="C217" s="3">
        <f t="shared" si="23"/>
        <v>0.6621372639</v>
      </c>
      <c r="D217" s="4">
        <f t="shared" si="24"/>
        <v>662.1372639</v>
      </c>
      <c r="E217" s="2"/>
      <c r="F217" s="2">
        <v>667.0</v>
      </c>
      <c r="G217" s="2">
        <v>968.6</v>
      </c>
      <c r="H217" s="5">
        <v>0.01</v>
      </c>
      <c r="I217" s="5">
        <v>0.03</v>
      </c>
      <c r="K217" s="2"/>
      <c r="L217" s="2" t="s">
        <v>297</v>
      </c>
    </row>
    <row r="218">
      <c r="B218" s="2" t="s">
        <v>298</v>
      </c>
      <c r="C218" s="3">
        <f t="shared" si="23"/>
        <v>0.4774932893</v>
      </c>
      <c r="D218" s="4">
        <f t="shared" si="24"/>
        <v>477.4932893</v>
      </c>
      <c r="E218" s="2"/>
      <c r="F218" s="2">
        <v>481.0</v>
      </c>
      <c r="G218" s="2">
        <v>968.6</v>
      </c>
      <c r="H218" s="5">
        <v>0.01</v>
      </c>
      <c r="I218" s="5">
        <v>0.03</v>
      </c>
      <c r="K218" s="2" t="s">
        <v>15</v>
      </c>
      <c r="L218" s="2" t="s">
        <v>299</v>
      </c>
    </row>
    <row r="219">
      <c r="B219" s="2" t="s">
        <v>300</v>
      </c>
      <c r="C219" s="3">
        <f t="shared" si="23"/>
        <v>0.1101245784</v>
      </c>
      <c r="D219" s="4">
        <f t="shared" si="24"/>
        <v>110.1245784</v>
      </c>
      <c r="E219" s="2"/>
      <c r="F219" s="2">
        <v>112.0</v>
      </c>
      <c r="G219" s="2">
        <v>968.6</v>
      </c>
      <c r="H219" s="5">
        <v>0.02</v>
      </c>
      <c r="I219" s="5">
        <v>0.03</v>
      </c>
      <c r="L219" s="2" t="s">
        <v>301</v>
      </c>
    </row>
    <row r="220">
      <c r="B220" s="2" t="s">
        <v>302</v>
      </c>
      <c r="C220" s="3">
        <f t="shared" si="23"/>
        <v>0.1848519709</v>
      </c>
      <c r="D220" s="4">
        <f t="shared" si="24"/>
        <v>184.8519709</v>
      </c>
      <c r="E220" s="2"/>
      <c r="F220" s="2">
        <v>188.0</v>
      </c>
      <c r="G220" s="2">
        <v>968.6</v>
      </c>
      <c r="H220" s="5">
        <v>0.02</v>
      </c>
      <c r="I220" s="5">
        <v>0.03</v>
      </c>
      <c r="L220" s="2" t="s">
        <v>303</v>
      </c>
    </row>
    <row r="223">
      <c r="A223" s="1" t="s">
        <v>304</v>
      </c>
      <c r="B223" s="1" t="s">
        <v>13</v>
      </c>
    </row>
    <row r="224">
      <c r="B224" s="2" t="s">
        <v>305</v>
      </c>
      <c r="C224" s="3">
        <f t="shared" ref="C224:C241" si="25">F224/(1+H224+I224)/G224</f>
        <v>0.6442684922</v>
      </c>
      <c r="D224" s="4">
        <f t="shared" ref="D224:D241" si="26">C224*1000</f>
        <v>644.2684922</v>
      </c>
      <c r="E224" s="2"/>
      <c r="F224" s="2">
        <v>649.0</v>
      </c>
      <c r="G224" s="2">
        <v>968.6</v>
      </c>
      <c r="H224" s="5">
        <v>0.01</v>
      </c>
      <c r="I224" s="5">
        <v>0.03</v>
      </c>
      <c r="K224" s="2" t="s">
        <v>15</v>
      </c>
    </row>
    <row r="225">
      <c r="B225" s="2" t="s">
        <v>306</v>
      </c>
      <c r="C225" s="3">
        <f t="shared" si="25"/>
        <v>2.279261106</v>
      </c>
      <c r="D225" s="4">
        <f t="shared" si="26"/>
        <v>2279.261106</v>
      </c>
      <c r="E225" s="2"/>
      <c r="F225" s="2">
        <v>2296.0</v>
      </c>
      <c r="G225" s="2">
        <v>968.6</v>
      </c>
      <c r="H225" s="5">
        <v>0.01</v>
      </c>
      <c r="I225" s="5">
        <v>0.03</v>
      </c>
      <c r="K225" s="2" t="s">
        <v>15</v>
      </c>
      <c r="L225" s="2" t="s">
        <v>307</v>
      </c>
    </row>
    <row r="226">
      <c r="B226" s="2" t="s">
        <v>308</v>
      </c>
      <c r="C226" s="3">
        <f t="shared" si="25"/>
        <v>4.600216014</v>
      </c>
      <c r="D226" s="4">
        <f t="shared" si="26"/>
        <v>4600.216014</v>
      </c>
      <c r="E226" s="2"/>
      <c r="F226" s="2">
        <v>4634.0</v>
      </c>
      <c r="G226" s="2">
        <v>968.6</v>
      </c>
      <c r="H226" s="5">
        <v>0.01</v>
      </c>
      <c r="I226" s="5">
        <v>0.03</v>
      </c>
      <c r="K226" s="2" t="s">
        <v>15</v>
      </c>
      <c r="L226" s="2" t="s">
        <v>26</v>
      </c>
    </row>
    <row r="227">
      <c r="B227" s="2" t="s">
        <v>309</v>
      </c>
      <c r="C227" s="3">
        <f t="shared" si="25"/>
        <v>3.393081212</v>
      </c>
      <c r="D227" s="4">
        <f t="shared" si="26"/>
        <v>3393.081212</v>
      </c>
      <c r="E227" s="2"/>
      <c r="F227" s="2">
        <v>3418.0</v>
      </c>
      <c r="G227" s="2">
        <v>968.6</v>
      </c>
      <c r="H227" s="5">
        <v>0.01</v>
      </c>
      <c r="I227" s="5">
        <v>0.03</v>
      </c>
      <c r="K227" s="2" t="s">
        <v>15</v>
      </c>
      <c r="L227" s="2" t="s">
        <v>310</v>
      </c>
    </row>
    <row r="228">
      <c r="B228" s="2" t="s">
        <v>311</v>
      </c>
      <c r="C228" s="3">
        <f t="shared" si="25"/>
        <v>0.6442684922</v>
      </c>
      <c r="D228" s="4">
        <f t="shared" si="26"/>
        <v>644.2684922</v>
      </c>
      <c r="E228" s="2"/>
      <c r="F228" s="2">
        <v>649.0</v>
      </c>
      <c r="G228" s="2">
        <v>968.6</v>
      </c>
      <c r="H228" s="5">
        <v>0.01</v>
      </c>
      <c r="I228" s="5">
        <v>0.03</v>
      </c>
      <c r="K228" s="2" t="s">
        <v>15</v>
      </c>
      <c r="L228" s="2" t="s">
        <v>312</v>
      </c>
    </row>
    <row r="229">
      <c r="B229" s="2" t="s">
        <v>313</v>
      </c>
      <c r="C229" s="3">
        <f t="shared" si="25"/>
        <v>1.677679125</v>
      </c>
      <c r="D229" s="4">
        <f t="shared" si="26"/>
        <v>1677.679125</v>
      </c>
      <c r="E229" s="2"/>
      <c r="F229" s="2">
        <v>1690.0</v>
      </c>
      <c r="G229" s="2">
        <v>968.6</v>
      </c>
      <c r="H229" s="5">
        <v>0.01</v>
      </c>
      <c r="I229" s="5">
        <v>0.03</v>
      </c>
      <c r="K229" s="2" t="s">
        <v>15</v>
      </c>
      <c r="L229" s="2" t="s">
        <v>314</v>
      </c>
    </row>
    <row r="230">
      <c r="B230" s="2" t="s">
        <v>315</v>
      </c>
      <c r="C230" s="3">
        <f t="shared" si="25"/>
        <v>2.669395956</v>
      </c>
      <c r="D230" s="4">
        <f t="shared" si="26"/>
        <v>2669.395956</v>
      </c>
      <c r="E230" s="2"/>
      <c r="F230" s="2">
        <v>2689.0</v>
      </c>
      <c r="G230" s="2">
        <v>968.6</v>
      </c>
      <c r="H230" s="5">
        <v>0.01</v>
      </c>
      <c r="I230" s="5">
        <v>0.03</v>
      </c>
      <c r="K230" s="2" t="s">
        <v>15</v>
      </c>
      <c r="L230" s="2" t="s">
        <v>316</v>
      </c>
    </row>
    <row r="231">
      <c r="B231" s="2" t="s">
        <v>317</v>
      </c>
      <c r="C231" s="3">
        <f t="shared" si="25"/>
        <v>0.1836512651</v>
      </c>
      <c r="D231" s="4">
        <f t="shared" si="26"/>
        <v>183.6512651</v>
      </c>
      <c r="E231" s="2"/>
      <c r="F231" s="2">
        <v>185.0</v>
      </c>
      <c r="G231" s="2">
        <v>968.6</v>
      </c>
      <c r="H231" s="5">
        <v>0.01</v>
      </c>
      <c r="I231" s="5">
        <v>0.03</v>
      </c>
      <c r="J231" s="2">
        <v>20.0</v>
      </c>
      <c r="K231" s="2" t="s">
        <v>15</v>
      </c>
      <c r="L231" s="2" t="s">
        <v>318</v>
      </c>
    </row>
    <row r="232">
      <c r="B232" s="2" t="s">
        <v>319</v>
      </c>
      <c r="C232" s="3">
        <f t="shared" si="25"/>
        <v>2.990041138</v>
      </c>
      <c r="D232" s="4">
        <f t="shared" si="26"/>
        <v>2990.041138</v>
      </c>
      <c r="E232" s="2"/>
      <c r="F232" s="2">
        <v>3012.0</v>
      </c>
      <c r="G232" s="2">
        <v>968.6</v>
      </c>
      <c r="H232" s="5">
        <v>0.01</v>
      </c>
      <c r="I232" s="5">
        <v>0.03</v>
      </c>
      <c r="K232" s="2" t="s">
        <v>15</v>
      </c>
      <c r="L232" s="2" t="s">
        <v>320</v>
      </c>
    </row>
    <row r="233">
      <c r="B233" s="2" t="s">
        <v>321</v>
      </c>
      <c r="C233" s="3">
        <f t="shared" si="25"/>
        <v>0.3315649867</v>
      </c>
      <c r="D233" s="4">
        <f t="shared" si="26"/>
        <v>331.5649867</v>
      </c>
      <c r="E233" s="2"/>
      <c r="F233" s="2">
        <v>334.0</v>
      </c>
      <c r="G233" s="2">
        <v>968.6</v>
      </c>
      <c r="H233" s="5">
        <v>0.01</v>
      </c>
      <c r="I233" s="5">
        <v>0.03</v>
      </c>
      <c r="J233" s="2">
        <v>25.0</v>
      </c>
      <c r="K233" s="2" t="s">
        <v>15</v>
      </c>
      <c r="L233" s="2" t="s">
        <v>322</v>
      </c>
    </row>
    <row r="234">
      <c r="B234" s="2" t="s">
        <v>323</v>
      </c>
      <c r="C234" s="3">
        <f t="shared" si="25"/>
        <v>4.636946267</v>
      </c>
      <c r="D234" s="4">
        <f t="shared" si="26"/>
        <v>4636.946267</v>
      </c>
      <c r="E234" s="2"/>
      <c r="F234" s="2">
        <v>4671.0</v>
      </c>
      <c r="G234" s="2">
        <v>968.6</v>
      </c>
      <c r="H234" s="5">
        <v>0.01</v>
      </c>
      <c r="I234" s="5">
        <v>0.03</v>
      </c>
      <c r="J234" s="2">
        <v>35.0</v>
      </c>
      <c r="K234" s="2" t="s">
        <v>15</v>
      </c>
      <c r="L234" s="2" t="s">
        <v>324</v>
      </c>
    </row>
    <row r="235">
      <c r="B235" s="2" t="s">
        <v>325</v>
      </c>
      <c r="C235" s="3">
        <f t="shared" si="25"/>
        <v>0.6442684922</v>
      </c>
      <c r="D235" s="4">
        <f t="shared" si="26"/>
        <v>644.2684922</v>
      </c>
      <c r="E235" s="2"/>
      <c r="F235" s="2">
        <v>649.0</v>
      </c>
      <c r="G235" s="2">
        <v>968.6</v>
      </c>
      <c r="H235" s="5">
        <v>0.01</v>
      </c>
      <c r="I235" s="5">
        <v>0.03</v>
      </c>
      <c r="K235" s="2" t="s">
        <v>15</v>
      </c>
      <c r="L235" s="2" t="s">
        <v>60</v>
      </c>
    </row>
    <row r="236">
      <c r="B236" s="2" t="s">
        <v>326</v>
      </c>
      <c r="C236" s="8">
        <f t="shared" si="25"/>
        <v>0.6118516976</v>
      </c>
      <c r="D236" s="9">
        <f t="shared" si="26"/>
        <v>611.8516976</v>
      </c>
      <c r="E236" s="10"/>
      <c r="F236" s="11">
        <v>611.0</v>
      </c>
      <c r="G236" s="11">
        <v>960.2</v>
      </c>
      <c r="H236" s="13">
        <v>0.01</v>
      </c>
      <c r="I236" s="13">
        <v>0.03</v>
      </c>
      <c r="J236" s="2"/>
      <c r="K236" s="2"/>
      <c r="L236" s="2"/>
    </row>
    <row r="237">
      <c r="B237" s="2" t="s">
        <v>327</v>
      </c>
      <c r="C237" s="8">
        <f t="shared" si="25"/>
        <v>0.7079855158</v>
      </c>
      <c r="D237" s="9">
        <f t="shared" si="26"/>
        <v>707.9855158</v>
      </c>
      <c r="E237" s="10"/>
      <c r="F237" s="11">
        <v>707.0</v>
      </c>
      <c r="G237" s="11">
        <v>960.2</v>
      </c>
      <c r="H237" s="13">
        <v>0.01</v>
      </c>
      <c r="I237" s="13">
        <v>0.03</v>
      </c>
      <c r="J237" s="2"/>
      <c r="K237" s="2"/>
      <c r="L237" s="2"/>
    </row>
    <row r="238">
      <c r="B238" s="2" t="s">
        <v>328</v>
      </c>
      <c r="C238" s="3">
        <f t="shared" si="25"/>
        <v>0.6710716498</v>
      </c>
      <c r="D238" s="4">
        <f t="shared" si="26"/>
        <v>671.0716498</v>
      </c>
      <c r="E238" s="2"/>
      <c r="F238" s="2">
        <v>676.0</v>
      </c>
      <c r="G238" s="2">
        <v>968.6</v>
      </c>
      <c r="H238" s="5">
        <v>0.01</v>
      </c>
      <c r="I238" s="5">
        <v>0.03</v>
      </c>
      <c r="J238" s="2">
        <v>10.0</v>
      </c>
      <c r="K238" s="2" t="s">
        <v>15</v>
      </c>
      <c r="L238" s="2" t="s">
        <v>329</v>
      </c>
    </row>
    <row r="239">
      <c r="B239" s="2" t="s">
        <v>330</v>
      </c>
      <c r="C239" s="3">
        <f t="shared" si="25"/>
        <v>0.1677679125</v>
      </c>
      <c r="D239" s="4">
        <f t="shared" si="26"/>
        <v>167.7679125</v>
      </c>
      <c r="E239" s="2"/>
      <c r="F239" s="2">
        <v>169.0</v>
      </c>
      <c r="G239" s="2">
        <v>968.6</v>
      </c>
      <c r="H239" s="5">
        <v>0.01</v>
      </c>
      <c r="I239" s="5">
        <v>0.03</v>
      </c>
      <c r="J239" s="2">
        <v>15.0</v>
      </c>
      <c r="K239" s="2" t="s">
        <v>15</v>
      </c>
      <c r="L239" s="2" t="s">
        <v>331</v>
      </c>
    </row>
    <row r="240">
      <c r="B240" s="2" t="s">
        <v>332</v>
      </c>
      <c r="C240" s="3">
        <f t="shared" si="25"/>
        <v>0.938025427</v>
      </c>
      <c r="D240" s="4">
        <f t="shared" si="26"/>
        <v>938.025427</v>
      </c>
      <c r="E240" s="2"/>
      <c r="F240" s="2">
        <v>954.0</v>
      </c>
      <c r="G240" s="2">
        <v>968.6</v>
      </c>
      <c r="H240" s="5">
        <v>0.02</v>
      </c>
      <c r="I240" s="5">
        <v>0.03</v>
      </c>
      <c r="J240" s="2">
        <v>20.0</v>
      </c>
      <c r="K240" s="2" t="s">
        <v>15</v>
      </c>
      <c r="L240" s="2" t="s">
        <v>333</v>
      </c>
    </row>
    <row r="241">
      <c r="B241" s="2" t="s">
        <v>334</v>
      </c>
      <c r="C241" s="3">
        <f t="shared" si="25"/>
        <v>4.204399084</v>
      </c>
      <c r="D241" s="4">
        <f t="shared" si="26"/>
        <v>4204.399084</v>
      </c>
      <c r="E241" s="2"/>
      <c r="F241" s="2">
        <v>4276.0</v>
      </c>
      <c r="G241" s="2">
        <v>968.6</v>
      </c>
      <c r="H241" s="5">
        <v>0.02</v>
      </c>
      <c r="I241" s="5">
        <v>0.03</v>
      </c>
      <c r="K241" s="2" t="s">
        <v>15</v>
      </c>
    </row>
    <row r="242">
      <c r="B242" s="1" t="s">
        <v>52</v>
      </c>
    </row>
    <row r="243">
      <c r="B243" s="2" t="s">
        <v>335</v>
      </c>
      <c r="C243" s="3">
        <f t="shared" ref="C243:C245" si="27">F243/(1+H243+I243)/G243</f>
        <v>1.10389301</v>
      </c>
      <c r="D243" s="4">
        <f t="shared" ref="D243:D245" si="28">C243*1000</f>
        <v>1103.89301</v>
      </c>
      <c r="E243" s="2"/>
      <c r="F243" s="2">
        <v>1112.0</v>
      </c>
      <c r="G243" s="2">
        <v>968.6</v>
      </c>
      <c r="H243" s="5">
        <v>0.01</v>
      </c>
      <c r="I243" s="5">
        <v>0.03</v>
      </c>
      <c r="K243" s="2" t="s">
        <v>15</v>
      </c>
      <c r="L243" s="2" t="s">
        <v>336</v>
      </c>
    </row>
    <row r="244">
      <c r="B244" s="2" t="s">
        <v>337</v>
      </c>
      <c r="C244" s="3">
        <f t="shared" si="27"/>
        <v>0.1360012071</v>
      </c>
      <c r="D244" s="4">
        <f t="shared" si="28"/>
        <v>136.0012071</v>
      </c>
      <c r="E244" s="2"/>
      <c r="F244" s="2">
        <v>137.0</v>
      </c>
      <c r="G244" s="2">
        <v>968.6</v>
      </c>
      <c r="H244" s="5">
        <v>0.01</v>
      </c>
      <c r="I244" s="5">
        <v>0.03</v>
      </c>
      <c r="K244" s="2" t="s">
        <v>15</v>
      </c>
      <c r="L244" s="2" t="s">
        <v>338</v>
      </c>
    </row>
    <row r="245">
      <c r="B245" s="2" t="s">
        <v>339</v>
      </c>
      <c r="C245" s="3">
        <f t="shared" si="27"/>
        <v>0.1150408543</v>
      </c>
      <c r="D245" s="4">
        <f t="shared" si="28"/>
        <v>115.0408543</v>
      </c>
      <c r="E245" s="2"/>
      <c r="F245" s="2">
        <v>117.0</v>
      </c>
      <c r="G245" s="2">
        <v>968.6</v>
      </c>
      <c r="H245" s="5">
        <v>0.02</v>
      </c>
      <c r="I245" s="5">
        <v>0.03</v>
      </c>
      <c r="L245" s="2" t="s">
        <v>340</v>
      </c>
    </row>
    <row r="247">
      <c r="A247" s="1" t="s">
        <v>341</v>
      </c>
      <c r="B247" s="1" t="s">
        <v>13</v>
      </c>
    </row>
    <row r="248">
      <c r="A248" s="2"/>
      <c r="B248" s="2" t="s">
        <v>342</v>
      </c>
      <c r="C248" s="3">
        <f t="shared" ref="C248:C272" si="29">F248/(1+H248+I248)/G248</f>
        <v>2.990041138</v>
      </c>
      <c r="D248" s="4">
        <f t="shared" ref="D248:D251" si="30">C248*1000</f>
        <v>2990.041138</v>
      </c>
      <c r="E248" s="2"/>
      <c r="F248" s="2">
        <v>3012.0</v>
      </c>
      <c r="G248" s="2">
        <v>968.6</v>
      </c>
      <c r="H248" s="5">
        <v>0.01</v>
      </c>
      <c r="I248" s="5">
        <v>0.03</v>
      </c>
      <c r="J248" s="2"/>
      <c r="K248" s="2" t="s">
        <v>15</v>
      </c>
      <c r="L248" s="2" t="s">
        <v>343</v>
      </c>
    </row>
    <row r="249">
      <c r="B249" s="2" t="s">
        <v>344</v>
      </c>
      <c r="C249" s="3">
        <f t="shared" si="29"/>
        <v>0.1608189457</v>
      </c>
      <c r="D249" s="4">
        <f t="shared" si="30"/>
        <v>160.8189457</v>
      </c>
      <c r="E249" s="2"/>
      <c r="F249" s="2">
        <v>162.0</v>
      </c>
      <c r="G249" s="2">
        <v>968.6</v>
      </c>
      <c r="H249" s="5">
        <v>0.01</v>
      </c>
      <c r="I249" s="5">
        <v>0.03</v>
      </c>
      <c r="K249" s="2"/>
      <c r="L249" s="2" t="s">
        <v>345</v>
      </c>
    </row>
    <row r="250">
      <c r="A250" s="1"/>
      <c r="B250" s="2" t="s">
        <v>346</v>
      </c>
      <c r="C250" s="3">
        <f t="shared" si="29"/>
        <v>0.2496205767</v>
      </c>
      <c r="D250" s="4">
        <f t="shared" si="30"/>
        <v>249.6205767</v>
      </c>
      <c r="E250" s="2"/>
      <c r="F250" s="2">
        <v>250.0</v>
      </c>
      <c r="G250" s="2">
        <v>963.0</v>
      </c>
      <c r="H250" s="5">
        <v>0.01</v>
      </c>
      <c r="I250" s="5">
        <v>0.03</v>
      </c>
      <c r="J250" s="2">
        <v>25.0</v>
      </c>
      <c r="K250" s="2"/>
      <c r="L250" s="2" t="s">
        <v>347</v>
      </c>
    </row>
    <row r="251">
      <c r="A251" s="1"/>
      <c r="B251" s="2" t="s">
        <v>348</v>
      </c>
      <c r="C251" s="3">
        <f t="shared" si="29"/>
        <v>0.113826983</v>
      </c>
      <c r="D251" s="4">
        <f t="shared" si="30"/>
        <v>113.826983</v>
      </c>
      <c r="E251" s="2"/>
      <c r="F251" s="2">
        <v>114.0</v>
      </c>
      <c r="G251" s="2">
        <v>963.0</v>
      </c>
      <c r="H251" s="5">
        <v>0.01</v>
      </c>
      <c r="I251" s="5">
        <v>0.03</v>
      </c>
      <c r="K251" s="2"/>
      <c r="L251" s="2" t="s">
        <v>349</v>
      </c>
    </row>
    <row r="252">
      <c r="A252" s="2"/>
      <c r="B252" s="7" t="s">
        <v>350</v>
      </c>
      <c r="C252" s="3">
        <f t="shared" si="29"/>
        <v>2.083615055</v>
      </c>
      <c r="D252" s="4"/>
      <c r="E252" s="2"/>
      <c r="F252" s="2">
        <v>1849.0</v>
      </c>
      <c r="G252" s="2">
        <v>887.4</v>
      </c>
      <c r="H252" s="5"/>
      <c r="I252" s="5"/>
      <c r="J252" s="2"/>
      <c r="K252" s="2"/>
      <c r="L252" s="2"/>
    </row>
    <row r="253">
      <c r="A253" s="2"/>
      <c r="B253" s="7" t="s">
        <v>351</v>
      </c>
      <c r="C253" s="3">
        <f t="shared" si="29"/>
        <v>2.724814064</v>
      </c>
      <c r="D253" s="4"/>
      <c r="E253" s="2"/>
      <c r="F253" s="2">
        <v>2418.0</v>
      </c>
      <c r="G253" s="2">
        <v>887.4</v>
      </c>
      <c r="H253" s="5"/>
      <c r="I253" s="5"/>
      <c r="J253" s="2"/>
      <c r="K253" s="2"/>
      <c r="L253" s="2"/>
    </row>
    <row r="254">
      <c r="A254" s="2"/>
      <c r="B254" s="7" t="s">
        <v>352</v>
      </c>
      <c r="C254" s="3">
        <f t="shared" si="29"/>
        <v>1.378183457</v>
      </c>
      <c r="D254" s="4"/>
      <c r="E254" s="2"/>
      <c r="F254" s="2">
        <v>1223.0</v>
      </c>
      <c r="G254" s="2">
        <v>887.4</v>
      </c>
      <c r="H254" s="5"/>
      <c r="I254" s="5"/>
      <c r="J254" s="2"/>
      <c r="K254" s="2"/>
      <c r="L254" s="2"/>
    </row>
    <row r="255">
      <c r="A255" s="2"/>
      <c r="B255" s="7" t="s">
        <v>353</v>
      </c>
      <c r="C255" s="3">
        <f t="shared" si="29"/>
        <v>2.403651116</v>
      </c>
      <c r="D255" s="4"/>
      <c r="E255" s="2"/>
      <c r="F255" s="2">
        <v>2133.0</v>
      </c>
      <c r="G255" s="2">
        <v>887.4</v>
      </c>
      <c r="H255" s="5"/>
      <c r="I255" s="5"/>
      <c r="J255" s="2"/>
      <c r="K255" s="2"/>
      <c r="L255" s="2"/>
    </row>
    <row r="256">
      <c r="A256" s="2"/>
      <c r="B256" s="7" t="s">
        <v>354</v>
      </c>
      <c r="C256" s="3">
        <f t="shared" si="29"/>
        <v>2.083615055</v>
      </c>
      <c r="D256" s="4"/>
      <c r="E256" s="2"/>
      <c r="F256" s="2">
        <v>1849.0</v>
      </c>
      <c r="G256" s="2">
        <v>887.4</v>
      </c>
      <c r="H256" s="5"/>
      <c r="I256" s="5"/>
      <c r="J256" s="2"/>
      <c r="K256" s="2"/>
      <c r="L256" s="2"/>
    </row>
    <row r="257">
      <c r="A257" s="2"/>
      <c r="B257" s="7" t="s">
        <v>355</v>
      </c>
      <c r="C257" s="3">
        <f t="shared" si="29"/>
        <v>0.5454135677</v>
      </c>
      <c r="D257" s="4"/>
      <c r="E257" s="2"/>
      <c r="F257" s="2">
        <v>484.0</v>
      </c>
      <c r="G257" s="2">
        <v>887.4</v>
      </c>
      <c r="H257" s="5"/>
      <c r="I257" s="5"/>
      <c r="J257" s="2"/>
      <c r="K257" s="2"/>
      <c r="L257" s="2" t="s">
        <v>356</v>
      </c>
    </row>
    <row r="258">
      <c r="A258" s="2"/>
      <c r="B258" s="7" t="s">
        <v>357</v>
      </c>
      <c r="C258" s="3">
        <f t="shared" si="29"/>
        <v>0.4992111787</v>
      </c>
      <c r="D258" s="4"/>
      <c r="E258" s="2"/>
      <c r="F258" s="2">
        <v>443.0</v>
      </c>
      <c r="G258" s="2">
        <v>887.4</v>
      </c>
      <c r="H258" s="5"/>
      <c r="I258" s="5"/>
      <c r="J258" s="2"/>
      <c r="K258" s="2"/>
      <c r="L258" s="2" t="s">
        <v>358</v>
      </c>
    </row>
    <row r="259">
      <c r="A259" s="2"/>
      <c r="B259" s="7" t="s">
        <v>359</v>
      </c>
      <c r="C259" s="3">
        <f t="shared" si="29"/>
        <v>0.4439936894</v>
      </c>
      <c r="D259" s="4"/>
      <c r="E259" s="2"/>
      <c r="F259" s="2">
        <v>394.0</v>
      </c>
      <c r="G259" s="2">
        <v>887.4</v>
      </c>
      <c r="H259" s="5"/>
      <c r="I259" s="5"/>
      <c r="J259" s="2"/>
      <c r="K259" s="2"/>
      <c r="L259" s="2"/>
    </row>
    <row r="260">
      <c r="A260" s="2"/>
      <c r="B260" s="7" t="s">
        <v>360</v>
      </c>
      <c r="C260" s="3">
        <f t="shared" si="29"/>
        <v>4.442190669</v>
      </c>
      <c r="D260" s="4"/>
      <c r="E260" s="2"/>
      <c r="F260" s="2">
        <v>3942.0</v>
      </c>
      <c r="G260" s="2">
        <v>887.4</v>
      </c>
      <c r="H260" s="5"/>
      <c r="I260" s="5"/>
      <c r="J260" s="2"/>
      <c r="K260" s="2"/>
      <c r="L260" s="2"/>
    </row>
    <row r="261">
      <c r="A261" s="2"/>
      <c r="B261" s="7" t="s">
        <v>361</v>
      </c>
      <c r="C261" s="3">
        <f t="shared" si="29"/>
        <v>1.428893396</v>
      </c>
      <c r="D261" s="4"/>
      <c r="E261" s="2"/>
      <c r="F261" s="2">
        <v>1268.0</v>
      </c>
      <c r="G261" s="2">
        <v>887.4</v>
      </c>
      <c r="H261" s="5"/>
      <c r="I261" s="5"/>
      <c r="J261" s="2"/>
      <c r="K261" s="2"/>
      <c r="L261" s="2"/>
    </row>
    <row r="262">
      <c r="A262" s="2"/>
      <c r="B262" s="7" t="s">
        <v>362</v>
      </c>
      <c r="C262" s="3">
        <f t="shared" si="29"/>
        <v>1.98557584</v>
      </c>
      <c r="D262" s="4"/>
      <c r="E262" s="2"/>
      <c r="F262" s="2">
        <v>1762.0</v>
      </c>
      <c r="G262" s="2">
        <v>887.4</v>
      </c>
      <c r="H262" s="5"/>
      <c r="I262" s="5"/>
      <c r="J262" s="2"/>
      <c r="K262" s="2"/>
      <c r="L262" s="2"/>
    </row>
    <row r="263">
      <c r="A263" s="2"/>
      <c r="B263" s="7" t="s">
        <v>363</v>
      </c>
      <c r="C263" s="3">
        <f t="shared" si="29"/>
        <v>0.7888212756</v>
      </c>
      <c r="D263" s="4"/>
      <c r="E263" s="2"/>
      <c r="F263" s="2">
        <v>700.0</v>
      </c>
      <c r="G263" s="2">
        <v>887.4</v>
      </c>
      <c r="H263" s="5"/>
      <c r="I263" s="5"/>
      <c r="J263" s="2"/>
      <c r="K263" s="2"/>
      <c r="L263" s="2"/>
    </row>
    <row r="264">
      <c r="A264" s="2"/>
      <c r="B264" s="7" t="s">
        <v>364</v>
      </c>
      <c r="C264" s="3">
        <f t="shared" si="29"/>
        <v>0.1611449177</v>
      </c>
      <c r="D264" s="4"/>
      <c r="E264" s="2"/>
      <c r="F264" s="2">
        <v>143.0</v>
      </c>
      <c r="G264" s="2">
        <v>887.4</v>
      </c>
      <c r="H264" s="5"/>
      <c r="I264" s="5"/>
      <c r="J264" s="2"/>
      <c r="K264" s="2"/>
      <c r="L264" s="2" t="s">
        <v>365</v>
      </c>
    </row>
    <row r="265">
      <c r="A265" s="2"/>
      <c r="B265" s="7" t="s">
        <v>366</v>
      </c>
      <c r="C265" s="3">
        <f t="shared" si="29"/>
        <v>2.083615055</v>
      </c>
      <c r="D265" s="4"/>
      <c r="E265" s="2"/>
      <c r="F265" s="2">
        <v>1849.0</v>
      </c>
      <c r="G265" s="2">
        <v>887.4</v>
      </c>
      <c r="H265" s="5"/>
      <c r="I265" s="5"/>
      <c r="J265" s="2"/>
      <c r="K265" s="2"/>
      <c r="L265" s="2"/>
    </row>
    <row r="266">
      <c r="A266" s="2"/>
      <c r="B266" s="7" t="s">
        <v>367</v>
      </c>
      <c r="C266" s="3">
        <f t="shared" si="29"/>
        <v>0.09353166554</v>
      </c>
      <c r="D266" s="4"/>
      <c r="E266" s="2"/>
      <c r="F266" s="2">
        <v>83.0</v>
      </c>
      <c r="G266" s="2">
        <v>887.4</v>
      </c>
      <c r="H266" s="5"/>
      <c r="I266" s="5"/>
      <c r="J266" s="2"/>
      <c r="K266" s="2"/>
      <c r="L266" s="2"/>
    </row>
    <row r="267">
      <c r="A267" s="2"/>
      <c r="B267" s="7" t="s">
        <v>368</v>
      </c>
      <c r="C267" s="3">
        <f t="shared" si="29"/>
        <v>0.2862294343</v>
      </c>
      <c r="D267" s="4"/>
      <c r="E267" s="2"/>
      <c r="F267" s="2">
        <v>254.0</v>
      </c>
      <c r="G267" s="2">
        <v>887.4</v>
      </c>
      <c r="H267" s="5"/>
      <c r="I267" s="5"/>
      <c r="J267" s="2"/>
      <c r="K267" s="2"/>
      <c r="L267" s="2" t="s">
        <v>369</v>
      </c>
    </row>
    <row r="268">
      <c r="A268" s="2"/>
      <c r="B268" s="7" t="s">
        <v>370</v>
      </c>
      <c r="C268" s="3">
        <f t="shared" si="29"/>
        <v>0.5454135677</v>
      </c>
      <c r="D268" s="4"/>
      <c r="E268" s="2"/>
      <c r="F268" s="2">
        <v>484.0</v>
      </c>
      <c r="G268" s="2">
        <v>887.4</v>
      </c>
      <c r="H268" s="5"/>
      <c r="I268" s="5"/>
      <c r="J268" s="2"/>
      <c r="K268" s="2"/>
      <c r="L268" s="2" t="s">
        <v>356</v>
      </c>
    </row>
    <row r="269">
      <c r="A269" s="2"/>
      <c r="B269" s="7" t="s">
        <v>371</v>
      </c>
      <c r="C269" s="3">
        <f t="shared" si="29"/>
        <v>0.2084741943</v>
      </c>
      <c r="D269" s="4"/>
      <c r="E269" s="2"/>
      <c r="F269" s="2">
        <v>185.0</v>
      </c>
      <c r="G269" s="2">
        <v>887.4</v>
      </c>
      <c r="H269" s="5"/>
      <c r="I269" s="5"/>
      <c r="J269" s="2"/>
      <c r="K269" s="2"/>
      <c r="L269" s="2"/>
    </row>
    <row r="270">
      <c r="A270" s="2"/>
      <c r="B270" s="7" t="s">
        <v>372</v>
      </c>
      <c r="C270" s="3">
        <f t="shared" si="29"/>
        <v>3.109082714</v>
      </c>
      <c r="D270" s="4"/>
      <c r="E270" s="2"/>
      <c r="F270" s="2">
        <v>2759.0</v>
      </c>
      <c r="G270" s="2">
        <v>887.4</v>
      </c>
      <c r="H270" s="5"/>
      <c r="I270" s="5"/>
      <c r="J270" s="2"/>
      <c r="K270" s="2"/>
      <c r="L270" s="2"/>
    </row>
    <row r="271">
      <c r="A271" s="2"/>
      <c r="B271" s="7" t="s">
        <v>373</v>
      </c>
      <c r="C271" s="3">
        <f t="shared" si="29"/>
        <v>1.555104801</v>
      </c>
      <c r="D271" s="4"/>
      <c r="E271" s="2"/>
      <c r="F271" s="2">
        <v>1380.0</v>
      </c>
      <c r="G271" s="2">
        <v>887.4</v>
      </c>
      <c r="H271" s="5"/>
      <c r="I271" s="5"/>
      <c r="J271" s="2"/>
      <c r="K271" s="2"/>
      <c r="L271" s="2"/>
    </row>
    <row r="272">
      <c r="A272" s="2"/>
      <c r="B272" s="7" t="s">
        <v>374</v>
      </c>
      <c r="C272" s="3">
        <f t="shared" si="29"/>
        <v>0.6085192698</v>
      </c>
      <c r="D272" s="4"/>
      <c r="E272" s="2"/>
      <c r="F272" s="2">
        <v>540.0</v>
      </c>
      <c r="G272" s="2">
        <v>887.4</v>
      </c>
      <c r="H272" s="5"/>
      <c r="I272" s="5"/>
      <c r="J272" s="2"/>
      <c r="K272" s="2"/>
      <c r="L272" s="2" t="s">
        <v>375</v>
      </c>
    </row>
    <row r="273">
      <c r="A273" s="2"/>
      <c r="C273" s="3"/>
      <c r="D273" s="4"/>
      <c r="E273" s="2"/>
      <c r="F273" s="2"/>
      <c r="G273" s="2"/>
      <c r="H273" s="5"/>
      <c r="I273" s="5"/>
      <c r="J273" s="2"/>
      <c r="K273" s="2"/>
      <c r="L273" s="2"/>
    </row>
    <row r="274">
      <c r="A274" s="2"/>
      <c r="B274" s="2"/>
      <c r="C274" s="3"/>
      <c r="D274" s="4"/>
      <c r="E274" s="2"/>
      <c r="F274" s="2"/>
      <c r="G274" s="2"/>
      <c r="H274" s="5"/>
      <c r="I274" s="5"/>
      <c r="J274" s="2"/>
      <c r="K274" s="2"/>
      <c r="L274" s="2"/>
    </row>
    <row r="275">
      <c r="A275" s="2"/>
      <c r="B275" s="1" t="s">
        <v>52</v>
      </c>
      <c r="C275" s="3"/>
      <c r="D275" s="4"/>
      <c r="E275" s="2"/>
      <c r="F275" s="2"/>
      <c r="G275" s="2"/>
      <c r="H275" s="5"/>
      <c r="I275" s="5"/>
      <c r="J275" s="2"/>
      <c r="K275" s="2"/>
      <c r="L275" s="2" t="s">
        <v>376</v>
      </c>
    </row>
    <row r="276">
      <c r="A276" s="2"/>
      <c r="B276" s="2" t="s">
        <v>377</v>
      </c>
      <c r="C276" s="3"/>
      <c r="D276" s="4"/>
      <c r="E276" s="2"/>
      <c r="F276" s="2"/>
      <c r="G276" s="2"/>
      <c r="H276" s="5"/>
      <c r="I276" s="5"/>
      <c r="J276" s="2"/>
      <c r="K276" s="2"/>
      <c r="L276" s="2"/>
    </row>
    <row r="277">
      <c r="A277" s="2"/>
      <c r="B277" s="2"/>
      <c r="C277" s="3"/>
      <c r="D277" s="4"/>
      <c r="E277" s="2"/>
      <c r="F277" s="2"/>
      <c r="G277" s="2"/>
      <c r="H277" s="5"/>
      <c r="I277" s="5"/>
      <c r="J277" s="2"/>
      <c r="K277" s="2"/>
      <c r="L277" s="2"/>
    </row>
    <row r="278">
      <c r="A278" s="2"/>
      <c r="B278" s="2"/>
      <c r="C278" s="3"/>
      <c r="D278" s="4"/>
      <c r="E278" s="2"/>
      <c r="F278" s="2"/>
      <c r="G278" s="2"/>
      <c r="H278" s="5"/>
      <c r="I278" s="5"/>
      <c r="J278" s="2"/>
      <c r="K278" s="2"/>
      <c r="L278" s="2"/>
    </row>
    <row r="279">
      <c r="A279" s="1" t="s">
        <v>378</v>
      </c>
      <c r="B279" s="2"/>
      <c r="C279" s="3"/>
      <c r="D279" s="4"/>
      <c r="E279" s="2"/>
      <c r="F279" s="2"/>
      <c r="G279" s="2"/>
      <c r="H279" s="5"/>
      <c r="I279" s="5"/>
      <c r="J279" s="2"/>
      <c r="K279" s="2"/>
      <c r="L279" s="2"/>
    </row>
    <row r="280">
      <c r="B280" s="2" t="s">
        <v>379</v>
      </c>
      <c r="C280" s="2">
        <v>0.74089</v>
      </c>
      <c r="D280" s="4">
        <f>C280*1000</f>
        <v>740.89</v>
      </c>
      <c r="E280" s="2"/>
      <c r="F280" s="2" t="s">
        <v>380</v>
      </c>
      <c r="G280" s="2" t="s">
        <v>380</v>
      </c>
      <c r="H280" s="2"/>
      <c r="I280" s="2"/>
      <c r="K280" s="2" t="s">
        <v>15</v>
      </c>
      <c r="L280" s="2" t="s">
        <v>381</v>
      </c>
    </row>
  </sheetData>
  <conditionalFormatting sqref="K3:K280 J169:J178">
    <cfRule type="cellIs" dxfId="0" priority="1" operator="equal">
      <formula>"X"</formula>
    </cfRule>
  </conditionalFormatting>
  <conditionalFormatting sqref="K3:K280 J169:J178">
    <cfRule type="beginsWith" dxfId="1" priority="2" operator="beginsWith" text="X,">
      <formula>LEFT((K3),LEN("X,"))=("X,")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</row>
    <row r="2">
      <c r="A2" s="1" t="s">
        <v>378</v>
      </c>
      <c r="B2" s="2"/>
      <c r="C2" s="3"/>
      <c r="D2" s="4"/>
      <c r="E2" s="2"/>
      <c r="F2" s="2"/>
      <c r="G2" s="2"/>
      <c r="H2" s="5"/>
      <c r="I2" s="5"/>
      <c r="K2" s="2"/>
    </row>
    <row r="3">
      <c r="B3" s="2" t="s">
        <v>71</v>
      </c>
      <c r="C3" s="3">
        <f t="shared" ref="C3:C10" si="1">F3/(1+H3+I3)/G3</f>
        <v>0.7486285126</v>
      </c>
      <c r="D3" s="4">
        <f t="shared" ref="D3:D7" si="2">C3*1000</f>
        <v>748.6285126</v>
      </c>
      <c r="E3" s="2"/>
      <c r="F3" s="2">
        <v>750.0</v>
      </c>
      <c r="G3" s="2">
        <v>963.3</v>
      </c>
      <c r="H3" s="5">
        <v>0.01</v>
      </c>
      <c r="I3" s="5">
        <v>0.03</v>
      </c>
      <c r="K3" s="2" t="s">
        <v>382</v>
      </c>
    </row>
    <row r="4">
      <c r="C4" s="3">
        <f t="shared" si="1"/>
        <v>0.7636010828</v>
      </c>
      <c r="D4" s="4">
        <f t="shared" si="2"/>
        <v>763.6010828</v>
      </c>
      <c r="E4" s="2"/>
      <c r="F4" s="2">
        <v>765.0</v>
      </c>
      <c r="G4" s="2">
        <v>963.3</v>
      </c>
      <c r="H4" s="5">
        <v>0.01</v>
      </c>
      <c r="I4" s="5">
        <v>0.03</v>
      </c>
    </row>
    <row r="5">
      <c r="C5" s="3">
        <f t="shared" si="1"/>
        <v>0.7795718244</v>
      </c>
      <c r="D5" s="4">
        <f t="shared" si="2"/>
        <v>779.5718244</v>
      </c>
      <c r="E5" s="2"/>
      <c r="F5" s="2">
        <v>781.0</v>
      </c>
      <c r="G5" s="2">
        <v>963.3</v>
      </c>
      <c r="H5" s="5">
        <v>0.01</v>
      </c>
      <c r="I5" s="5">
        <v>0.03</v>
      </c>
    </row>
    <row r="6">
      <c r="C6" s="3">
        <f t="shared" si="1"/>
        <v>0.6687748046</v>
      </c>
      <c r="D6" s="4">
        <f t="shared" si="2"/>
        <v>668.7748046</v>
      </c>
      <c r="E6" s="2"/>
      <c r="F6" s="2">
        <v>670.0</v>
      </c>
      <c r="G6" s="2">
        <v>963.3</v>
      </c>
      <c r="H6" s="5">
        <v>0.01</v>
      </c>
      <c r="I6" s="5">
        <v>0.03</v>
      </c>
    </row>
    <row r="7">
      <c r="C7" s="3">
        <f t="shared" si="1"/>
        <v>0.7106980013</v>
      </c>
      <c r="D7" s="4">
        <f t="shared" si="2"/>
        <v>710.6980013</v>
      </c>
      <c r="E7" s="2"/>
      <c r="F7" s="2">
        <v>712.0</v>
      </c>
      <c r="G7" s="2">
        <v>963.3</v>
      </c>
      <c r="H7" s="5">
        <v>0.01</v>
      </c>
      <c r="I7" s="5">
        <v>0.03</v>
      </c>
    </row>
    <row r="8">
      <c r="B8" s="2" t="s">
        <v>25</v>
      </c>
      <c r="C8" s="3">
        <f t="shared" si="1"/>
        <v>0.7106980013</v>
      </c>
      <c r="D8" s="4">
        <v>797.0</v>
      </c>
      <c r="E8" s="2"/>
      <c r="F8" s="2">
        <v>712.0</v>
      </c>
      <c r="G8" s="2">
        <v>963.3</v>
      </c>
      <c r="H8" s="5">
        <v>0.01</v>
      </c>
      <c r="I8" s="5">
        <v>0.03</v>
      </c>
    </row>
    <row r="9">
      <c r="B9" s="2" t="s">
        <v>67</v>
      </c>
      <c r="C9" s="3">
        <f t="shared" si="1"/>
        <v>0.7795718244</v>
      </c>
      <c r="D9" s="4">
        <f t="shared" ref="D9:D10" si="3">C9*1000</f>
        <v>779.5718244</v>
      </c>
      <c r="E9" s="2"/>
      <c r="F9" s="2">
        <v>781.0</v>
      </c>
      <c r="G9" s="2">
        <v>963.3</v>
      </c>
      <c r="H9" s="5">
        <v>0.01</v>
      </c>
      <c r="I9" s="5">
        <v>0.03</v>
      </c>
    </row>
    <row r="10">
      <c r="B10" s="2" t="s">
        <v>282</v>
      </c>
      <c r="C10" s="3">
        <f t="shared" si="1"/>
        <v>0.7655974255</v>
      </c>
      <c r="D10" s="4">
        <f t="shared" si="3"/>
        <v>765.5974255</v>
      </c>
      <c r="E10" s="2"/>
      <c r="F10" s="2">
        <v>767.0</v>
      </c>
      <c r="G10" s="2">
        <v>963.3</v>
      </c>
      <c r="H10" s="5">
        <v>0.01</v>
      </c>
      <c r="I10" s="5">
        <v>0.03</v>
      </c>
    </row>
  </sheetData>
  <drawing r:id="rId1"/>
</worksheet>
</file>